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sign_Selector" sheetId="2" state="visible" r:id="rId4"/>
    <sheet name="Tender_Pack" sheetId="3" state="visible" r:id="rId5"/>
    <sheet name="Coverage" sheetId="4" state="visible" r:id="rId6"/>
    <sheet name="Lists" sheetId="5" state="visible" r:id="rId7"/>
    <sheet name="Drain_Register" sheetId="6" state="visible" r:id="rId8"/>
    <sheet name="RW_Register" sheetId="7" state="visible" r:id="rId9"/>
    <sheet name="Other_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<sst xmlns="http://schemas.openxmlformats.org/spreadsheetml/2006/main" count="811" uniqueCount="428">
  <si>
    <t xml:space="preserve">Standard Design Library: Register</t>
  </si>
  <si>
    <t xml:space="preserve">Purpose</t>
  </si>
  <si>
    <t xml:space="preserve">Call out approved standard designs (drains, retaining walls, linkways, railings, staircases, POB, USD) quickly for tender drawing preparation, with preliminary quantities.</t>
  </si>
  <si>
    <t xml:space="preserve">SHEETS</t>
  </si>
  <si>
    <t xml:space="preserve">Design_Selector</t>
  </si>
  <si>
    <t xml:space="preserve">Enter requirement (e.g. U-drain 500x800 vehicular, or RW H = 2.8 m) and get the nearest approved design + file links.</t>
  </si>
  <si>
    <t xml:space="preserve">Tender_Pack</t>
  </si>
  <si>
    <t xml:space="preserve">List the Design IDs used in a tender with lengths. Gives drawing refs, DWG files and preliminary concrete / rebar / formwork / excavation.</t>
  </si>
  <si>
    <t xml:space="preserve">Coverage</t>
  </si>
  <si>
    <t xml:space="preserve">Shows which sizes / heights have an approved design and where the gaps are (red = 0).</t>
  </si>
  <si>
    <t xml:space="preserve">Drain_Register</t>
  </si>
  <si>
    <t xml:space="preserve">One row per drain design variant.</t>
  </si>
  <si>
    <t xml:space="preserve">RW_Register</t>
  </si>
  <si>
    <t xml:space="preserve">One row per retaining wall design variant.</t>
  </si>
  <si>
    <t xml:space="preserve">Other_Register</t>
  </si>
  <si>
    <t xml:space="preserve">LTA linkway, railing, staircase, POB, USD and others.</t>
  </si>
  <si>
    <t xml:space="preserve">Lists</t>
  </si>
  <si>
    <t xml:space="preserve">Dropdown values and ID codes. Add new types here.</t>
  </si>
  <si>
    <t xml:space="preserve">COLOUR LEGEND</t>
  </si>
  <si>
    <t xml:space="preserve">Yellow cell, blue text</t>
  </si>
  <si>
    <t xml:space="preserve">Input: type or pick from dropdown.</t>
  </si>
  <si>
    <t xml:space="preserve">Grey cell, black text</t>
  </si>
  <si>
    <t xml:space="preserve">Formula: do not overwrite.</t>
  </si>
  <si>
    <t xml:space="preserve">Green column header</t>
  </si>
  <si>
    <t xml:space="preserve">Tender quantity per unit (per m run, or per nr / span where stated).</t>
  </si>
  <si>
    <t xml:space="preserve">Green-shaded rows</t>
  </si>
  <si>
    <t xml:space="preserve">EXAMPLE data to show the format. Values are illustrative only; delete or overwrite with your own designs.</t>
  </si>
  <si>
    <t xml:space="preserve">DESIGN ID FORMAT</t>
  </si>
  <si>
    <t xml:space="preserve">Drain</t>
  </si>
  <si>
    <t xml:space="preserve">DRN-[Type]-[W]x[D]-[Load]-[Rev]     e.g. DRN-UD-0600x0900-VEH-B</t>
  </si>
  <si>
    <t xml:space="preserve">Retaining wall</t>
  </si>
  <si>
    <t xml:space="preserve">RW-[Type]-H[mm]-S[kPa][-GW]-[Rev]  e.g. RW-CANT-H3000-S10-A   (-GW = designed with groundwater)</t>
  </si>
  <si>
    <t xml:space="preserve">Others</t>
  </si>
  <si>
    <t xml:space="preserve">[Family]-[Type]-SP[mm]-H[mm]-[Rev] e.g. LKW-SINGLESPAN-SP6000-H3000-A</t>
  </si>
  <si>
    <t xml:space="preserve">Rule</t>
  </si>
  <si>
    <t xml:space="preserve">Use the SAME ID for the DWG file name, PDF file name, calc report and the drawing title block.</t>
  </si>
  <si>
    <t xml:space="preserve">ADDING A DESIGN</t>
  </si>
  <si>
    <t xml:space="preserve">1</t>
  </si>
  <si>
    <t xml:space="preserve">Fill a new row in the right register. The Design ID builds itself.</t>
  </si>
  <si>
    <t xml:space="preserve">2</t>
  </si>
  <si>
    <t xml:space="preserve">Save the tender detail DWG (xrefs bound / eTransmit, consistent base point and layers) and PDF using that ID as the file name.</t>
  </si>
  <si>
    <t xml:space="preserve">3</t>
  </si>
  <si>
    <t xml:space="preserve">Put the file paths / SharePoint links in the DWG, PDF and Calc columns. Fill quantities per metre.</t>
  </si>
  <si>
    <t xml:space="preserve">4</t>
  </si>
  <si>
    <t xml:space="preserve">Set Status. Only 'Approved' designs appear in the Selector. When revising, set the old row to 'Superseded' and add a new row with the next Rev.</t>
  </si>
  <si>
    <t xml:space="preserve">MOVING TO SHAREPOINT / POWER APPS</t>
  </si>
  <si>
    <t xml:space="preserve">Tables</t>
  </si>
  <si>
    <t xml:space="preserve">Each register is an Excel Table (tblDrain, tblRW, tblOther). In SharePoint: New &gt; List &gt; From Excel, pick the table. Or keep this file in the library and point Power Apps at the tables directly.</t>
  </si>
  <si>
    <t xml:space="preserve">Recommended</t>
  </si>
  <si>
    <t xml:space="preserve">Import into SharePoint Lists (better for many users, versioning and Power Apps delegation). Keep this workbook as the template and offline copy.</t>
  </si>
  <si>
    <t xml:space="preserve">CAD</t>
  </si>
  <si>
    <t xml:space="preserve">Sync the SharePoint 'Design Library' document library to your PC (OneDrive Sync), then point AutoCAD Tool Palettes / DesignCenter at the synced folder for drag-and-drop details.</t>
  </si>
  <si>
    <t xml:space="preserve">DISCLAIMER</t>
  </si>
  <si>
    <t xml:space="preserve">Standard designs are valid only within the stated assumptions. The QP must verify site conditions, loading and soil parameters for each project. Tender quantities are preliminary.</t>
  </si>
  <si>
    <t xml:space="preserve">Design Selector: find the nearest APPROVED standard design</t>
  </si>
  <si>
    <t xml:space="preserve">Type into the yellow cells. Returns the smallest approved design at or above your requirement. Only rows with Status = Approved are considered.</t>
  </si>
  <si>
    <t xml:space="preserve">DRAIN</t>
  </si>
  <si>
    <t xml:space="preserve">RETAINING WALL</t>
  </si>
  <si>
    <t xml:space="preserve">Drain Type</t>
  </si>
  <si>
    <t xml:space="preserve">U-Drain</t>
  </si>
  <si>
    <t xml:space="preserve">Wall Type</t>
  </si>
  <si>
    <t xml:space="preserve">Cantilever RC</t>
  </si>
  <si>
    <t xml:space="preserve">Min. Internal Width (mm)</t>
  </si>
  <si>
    <t xml:space="preserve">Retained Height (m)</t>
  </si>
  <si>
    <t xml:space="preserve">Min. Internal Depth (mm)</t>
  </si>
  <si>
    <t xml:space="preserve">Surcharge (kPa)</t>
  </si>
  <si>
    <t xml:space="preserve">Loading</t>
  </si>
  <si>
    <t xml:space="preserve">Vehicular (LM1)</t>
  </si>
  <si>
    <t xml:space="preserve">GWT behind wall? (Y/N)</t>
  </si>
  <si>
    <t xml:space="preserve">N</t>
  </si>
  <si>
    <t xml:space="preserve">Selected width (mm)</t>
  </si>
  <si>
    <t xml:space="preserve">Selected height (m)</t>
  </si>
  <si>
    <t xml:space="preserve">Selected depth (mm)</t>
  </si>
  <si>
    <t xml:space="preserve">Selected surcharge (kPa)</t>
  </si>
  <si>
    <t xml:space="preserve">Row in register</t>
  </si>
  <si>
    <t xml:space="preserve">Selected GWT case</t>
  </si>
  <si>
    <t xml:space="preserve">Result</t>
  </si>
  <si>
    <t xml:space="preserve">Design ID</t>
  </si>
  <si>
    <t xml:space="preserve">Description</t>
  </si>
  <si>
    <t xml:space="preserve">Rev</t>
  </si>
  <si>
    <t xml:space="preserve">Drawing No.</t>
  </si>
  <si>
    <t xml:space="preserve">Wall / Base / Dist. bars</t>
  </si>
  <si>
    <t xml:space="preserve">Stem / Base bars</t>
  </si>
  <si>
    <t xml:space="preserve">Tender Detail DWG</t>
  </si>
  <si>
    <t xml:space="preserve">PDF</t>
  </si>
  <si>
    <t xml:space="preserve">Calc Report</t>
  </si>
  <si>
    <t xml:space="preserve">Concrete (m3/m)</t>
  </si>
  <si>
    <t xml:space="preserve">Rebar (kg/m)</t>
  </si>
  <si>
    <t xml:space="preserve">Limitations</t>
  </si>
  <si>
    <t xml:space="preserve">Note: loading is matched exactly (a Vehicular design is not offered for a Pedestrian search). A wall designed with GWT is offered for a no-GWT search, not the other way round.</t>
  </si>
  <si>
    <t xml:space="preserve">Copy the Design ID into the Tender_Pack sheet to add it to your tender.</t>
  </si>
  <si>
    <t xml:space="preserve">Tender Pack: designs used in this tender + preliminary quantities</t>
  </si>
  <si>
    <t xml:space="preserve">Type Design IDs (from any register) and the length / number. Everything else fills in. Save a copy of this workbook per tender, or copy this sheet out.</t>
  </si>
  <si>
    <t xml:space="preserve">Tender / Project:</t>
  </si>
  <si>
    <t xml:space="preserve">EXAMPLE - Tender T-2026-01 Road Upgrading</t>
  </si>
  <si>
    <t xml:space="preserve">Item</t>
  </si>
  <si>
    <t xml:space="preserve">Location / Remarks</t>
  </si>
  <si>
    <t xml:space="preserve">Length / Qty</t>
  </si>
  <si>
    <t xml:space="preserve">Unit</t>
  </si>
  <si>
    <t xml:space="preserve">Register</t>
  </si>
  <si>
    <t xml:space="preserve">Status</t>
  </si>
  <si>
    <t xml:space="preserve">Concrete (m3)</t>
  </si>
  <si>
    <t xml:space="preserve">Rebar / Steel (t)</t>
  </si>
  <si>
    <t xml:space="preserve">Formwork (m2)</t>
  </si>
  <si>
    <t xml:space="preserve">Excavation (m3)</t>
  </si>
  <si>
    <t xml:space="preserve">Check</t>
  </si>
  <si>
    <t xml:space="preserve">DRN-UD-0600x0900-VEH-B</t>
  </si>
  <si>
    <t xml:space="preserve">Main road side drain, Ch 0-120</t>
  </si>
  <si>
    <t xml:space="preserve">DRN-UD-0300x0450-PED-A</t>
  </si>
  <si>
    <t xml:space="preserve">Footpath drain</t>
  </si>
  <si>
    <t xml:space="preserve">RW-CANT-H3000-S10-A</t>
  </si>
  <si>
    <t xml:space="preserve">Slope at carpark, grid A-D</t>
  </si>
  <si>
    <t xml:space="preserve">LKW-SINGLESPAN-SP6000-H3000-A</t>
  </si>
  <si>
    <t xml:space="preserve">Linkway to bus stop</t>
  </si>
  <si>
    <t xml:space="preserve">DRN-UD-1200x1500-HVY-A</t>
  </si>
  <si>
    <t xml:space="preserve">Fire engine access crossing</t>
  </si>
  <si>
    <t xml:space="preserve">TOTAL</t>
  </si>
  <si>
    <t xml:space="preserve">Quantities are PRELIMINARY (standard section x length) for tender estimation only. Exclude bends, transitions, sumps unless listed. QS to verify.</t>
  </si>
  <si>
    <t xml:space="preserve">Coverage Matrix: number of APPROVED designs (0 = gap, plan a new standard design)</t>
  </si>
  <si>
    <t xml:space="preserve">Retaining walls: type vs retained height band (m)</t>
  </si>
  <si>
    <t xml:space="preserve">0-1</t>
  </si>
  <si>
    <t xml:space="preserve">1-1.5</t>
  </si>
  <si>
    <t xml:space="preserve">1.5-2</t>
  </si>
  <si>
    <t xml:space="preserve">2-2.5</t>
  </si>
  <si>
    <t xml:space="preserve">2.5-3</t>
  </si>
  <si>
    <t xml:space="preserve">3-3.5</t>
  </si>
  <si>
    <t xml:space="preserve">3.5-4</t>
  </si>
  <si>
    <t xml:space="preserve">4-4.5</t>
  </si>
  <si>
    <t xml:space="preserve">4.5-5</t>
  </si>
  <si>
    <t xml:space="preserve">5-6</t>
  </si>
  <si>
    <t xml:space="preserve">L-Wall</t>
  </si>
  <si>
    <t xml:space="preserve">Gravity</t>
  </si>
  <si>
    <t xml:space="preserve">Counterfort</t>
  </si>
  <si>
    <t xml:space="preserve">Block / Segmental</t>
  </si>
  <si>
    <t xml:space="preserve">Sheet Pile</t>
  </si>
  <si>
    <t xml:space="preserve">Contiguous Bored Pile</t>
  </si>
  <si>
    <t xml:space="preserve">Secant Pile</t>
  </si>
  <si>
    <t xml:space="preserve">Gabion</t>
  </si>
  <si>
    <t xml:space="preserve">Drains (U-Drain): internal width (mm) vs loading</t>
  </si>
  <si>
    <t xml:space="preserve">Nil / Landscape</t>
  </si>
  <si>
    <t xml:space="preserve">Pedestrian</t>
  </si>
  <si>
    <t xml:space="preserve">Heavy Vehicle / Fire Engine</t>
  </si>
  <si>
    <t xml:space="preserve">Library status summary</t>
  </si>
  <si>
    <t xml:space="preserve">Drains</t>
  </si>
  <si>
    <t xml:space="preserve">Ret. Walls</t>
  </si>
  <si>
    <t xml:space="preserve">Total</t>
  </si>
  <si>
    <t xml:space="preserve">WIP</t>
  </si>
  <si>
    <t xml:space="preserve">Checked</t>
  </si>
  <si>
    <t xml:space="preserve">Approved</t>
  </si>
  <si>
    <t xml:space="preserve">Superseded</t>
  </si>
  <si>
    <t xml:space="preserve">Dropdown lists. Add items at the bottom of a list; codes feed the auto-generated Design IDs.</t>
  </si>
  <si>
    <t xml:space="preserve">DrainType</t>
  </si>
  <si>
    <t xml:space="preserve">Code</t>
  </si>
  <si>
    <t xml:space="preserve">Construction</t>
  </si>
  <si>
    <t xml:space="preserve">CoverType</t>
  </si>
  <si>
    <t xml:space="preserve">WallType</t>
  </si>
  <si>
    <t xml:space="preserve">YN</t>
  </si>
  <si>
    <t xml:space="preserve">SoilClass</t>
  </si>
  <si>
    <t xml:space="preserve">Family</t>
  </si>
  <si>
    <t xml:space="preserve">Grade</t>
  </si>
  <si>
    <t xml:space="preserve">UD</t>
  </si>
  <si>
    <t xml:space="preserve">NIL</t>
  </si>
  <si>
    <t xml:space="preserve">Cast-in-situ</t>
  </si>
  <si>
    <t xml:space="preserve">Open</t>
  </si>
  <si>
    <t xml:space="preserve">CANT</t>
  </si>
  <si>
    <t xml:space="preserve">Y</t>
  </si>
  <si>
    <t xml:space="preserve">Soft clay</t>
  </si>
  <si>
    <t xml:space="preserve">LTA Linkway</t>
  </si>
  <si>
    <t xml:space="preserve">LKW</t>
  </si>
  <si>
    <t xml:space="preserve">m</t>
  </si>
  <si>
    <t xml:space="preserve">C25/30</t>
  </si>
  <si>
    <t xml:space="preserve">Box Culvert</t>
  </si>
  <si>
    <t xml:space="preserve">BC</t>
  </si>
  <si>
    <t xml:space="preserve">PED</t>
  </si>
  <si>
    <t xml:space="preserve">Precast</t>
  </si>
  <si>
    <t xml:space="preserve">RC Cover Slab</t>
  </si>
  <si>
    <t xml:space="preserve">LW</t>
  </si>
  <si>
    <t xml:space="preserve">Firm/stiff clay</t>
  </si>
  <si>
    <t xml:space="preserve">Railing</t>
  </si>
  <si>
    <t xml:space="preserve">RLG</t>
  </si>
  <si>
    <t xml:space="preserve">nr</t>
  </si>
  <si>
    <t xml:space="preserve">C28/35</t>
  </si>
  <si>
    <t xml:space="preserve">Sump</t>
  </si>
  <si>
    <t xml:space="preserve">SP</t>
  </si>
  <si>
    <t xml:space="preserve">VEH</t>
  </si>
  <si>
    <t xml:space="preserve">Steel Grating</t>
  </si>
  <si>
    <t xml:space="preserve">GRAV</t>
  </si>
  <si>
    <t xml:space="preserve">Loose sand</t>
  </si>
  <si>
    <t xml:space="preserve">Staircase</t>
  </si>
  <si>
    <t xml:space="preserve">STR</t>
  </si>
  <si>
    <t xml:space="preserve">m2</t>
  </si>
  <si>
    <t xml:space="preserve">C30/37</t>
  </si>
  <si>
    <t xml:space="preserve">Catchpit</t>
  </si>
  <si>
    <t xml:space="preserve">CP</t>
  </si>
  <si>
    <t xml:space="preserve">HVY</t>
  </si>
  <si>
    <t xml:space="preserve">Precast Cover</t>
  </si>
  <si>
    <t xml:space="preserve">CF</t>
  </si>
  <si>
    <t xml:space="preserve">Dense sand</t>
  </si>
  <si>
    <t xml:space="preserve">POB</t>
  </si>
  <si>
    <t xml:space="preserve">span</t>
  </si>
  <si>
    <t xml:space="preserve">C32/40</t>
  </si>
  <si>
    <t xml:space="preserve">Scupper Drain</t>
  </si>
  <si>
    <t xml:space="preserve">SD</t>
  </si>
  <si>
    <t xml:space="preserve">Heavy Duty Grating</t>
  </si>
  <si>
    <t xml:space="preserve">BLK</t>
  </si>
  <si>
    <t xml:space="preserve">Residual soil</t>
  </si>
  <si>
    <t xml:space="preserve">USD</t>
  </si>
  <si>
    <t xml:space="preserve">C35/45</t>
  </si>
  <si>
    <t xml:space="preserve">Cascade Drain</t>
  </si>
  <si>
    <t xml:space="preserve">CD</t>
  </si>
  <si>
    <t xml:space="preserve">SHP</t>
  </si>
  <si>
    <t xml:space="preserve">Fill</t>
  </si>
  <si>
    <t xml:space="preserve">OTH</t>
  </si>
  <si>
    <t xml:space="preserve">C40/50</t>
  </si>
  <si>
    <t xml:space="preserve">Inspection Chamber</t>
  </si>
  <si>
    <t xml:space="preserve">IC</t>
  </si>
  <si>
    <t xml:space="preserve">CBP</t>
  </si>
  <si>
    <t xml:space="preserve">SCP</t>
  </si>
  <si>
    <t xml:space="preserve">GAB</t>
  </si>
  <si>
    <t xml:space="preserve">Drainage Standard Design Register</t>
  </si>
  <si>
    <t xml:space="preserve">One row per design variant. Design ID builds itself from Type, W, D, Loading and Rev. Quantities are per metre run (sumps/chambers: per nr).</t>
  </si>
  <si>
    <t xml:space="preserve">Yellow = you type / pick.  Grey = automatic (formula).  Green headers = tender quantities per unit.  Green-shaded rows = EXAMPLE data, delete or overwrite.</t>
  </si>
  <si>
    <t xml:space="preserve">Internal Width (mm)</t>
  </si>
  <si>
    <t xml:space="preserve">Internal Depth (mm)</t>
  </si>
  <si>
    <t xml:space="preserve">Wall Thk (mm)</t>
  </si>
  <si>
    <t xml:space="preserve">Base Thk (mm)</t>
  </si>
  <si>
    <t xml:space="preserve">Cover Type</t>
  </si>
  <si>
    <t xml:space="preserve">Concrete Grade</t>
  </si>
  <si>
    <t xml:space="preserve">Cover to Rebar (mm)</t>
  </si>
  <si>
    <t xml:space="preserve">Wall Main Bar</t>
  </si>
  <si>
    <t xml:space="preserve">Base Main Bar</t>
  </si>
  <si>
    <t xml:space="preserve">Distribution Bar</t>
  </si>
  <si>
    <t xml:space="preserve">Max Backfill / Surcharge</t>
  </si>
  <si>
    <t xml:space="preserve">Code Basis</t>
  </si>
  <si>
    <t xml:space="preserve">Tender Detail DWG (file / link)</t>
  </si>
  <si>
    <t xml:space="preserve">PDF (file / link)</t>
  </si>
  <si>
    <t xml:space="preserve">Calc Report (file / link)</t>
  </si>
  <si>
    <t xml:space="preserve">Formwork (m2/m)</t>
  </si>
  <si>
    <t xml:space="preserve">Excavation (m3/m)</t>
  </si>
  <si>
    <t xml:space="preserve">Limitations / Notes</t>
  </si>
  <si>
    <t xml:space="preserve">Projects / Tenders Used</t>
  </si>
  <si>
    <t xml:space="preserve">Designer</t>
  </si>
  <si>
    <t xml:space="preserve">Checker</t>
  </si>
  <si>
    <t xml:space="preserve">Approved By (QP)</t>
  </si>
  <si>
    <t xml:space="preserve">Approval Date</t>
  </si>
  <si>
    <t xml:space="preserve">Selector Key</t>
  </si>
  <si>
    <t xml:space="preserve">T10@200</t>
  </si>
  <si>
    <t xml:space="preserve">T10@250</t>
  </si>
  <si>
    <t xml:space="preserve">1.0 m / 5 kPa</t>
  </si>
  <si>
    <t xml:space="preserve">SS EN 1992-1-1; PUB COP SWD</t>
  </si>
  <si>
    <t xml:space="preserve">A</t>
  </si>
  <si>
    <t xml:space="preserve">STD-DRN-001</t>
  </si>
  <si>
    <t xml:space="preserve">Drainage/DRN-UD-0300x0450-PED-A.dwg</t>
  </si>
  <si>
    <t xml:space="preserve">Drainage/DRN-UD-0300x0450-PED-A.pdf</t>
  </si>
  <si>
    <t xml:space="preserve">Drainage/Calcs/DRN-UD-0300x0450-PED-A_calc.pdf</t>
  </si>
  <si>
    <t xml:space="preserve">EXAMPLE values. Not for vehicular areas.</t>
  </si>
  <si>
    <t xml:space="preserve">EXAMPLE</t>
  </si>
  <si>
    <t xml:space="preserve">T10@150</t>
  </si>
  <si>
    <t xml:space="preserve">STD-DRN-002</t>
  </si>
  <si>
    <t xml:space="preserve">Drainage/DRN-UD-0600x0600-PED-A.dwg</t>
  </si>
  <si>
    <t xml:space="preserve">Drainage/DRN-UD-0600x0600-PED-A.pdf</t>
  </si>
  <si>
    <t xml:space="preserve">Drainage/Calcs/DRN-UD-0600x0600-PED-A_calc.pdf</t>
  </si>
  <si>
    <t xml:space="preserve">EXAMPLE values.</t>
  </si>
  <si>
    <t xml:space="preserve">T13@150</t>
  </si>
  <si>
    <t xml:space="preserve">1.5 m / 10 kPa</t>
  </si>
  <si>
    <t xml:space="preserve">B</t>
  </si>
  <si>
    <t xml:space="preserve">STD-DRN-003</t>
  </si>
  <si>
    <t xml:space="preserve">Drainage/DRN-UD-0600x0900-VEH-B.dwg</t>
  </si>
  <si>
    <t xml:space="preserve">Drainage/DRN-UD-0600x0900-VEH-B.pdf</t>
  </si>
  <si>
    <t xml:space="preserve">Drainage/Calcs/DRN-UD-0600x0900-VEH-B_calc.pdf</t>
  </si>
  <si>
    <t xml:space="preserve">EXAMPLE values. Rev A superseded (cover increased).</t>
  </si>
  <si>
    <t xml:space="preserve">EXAMPLE Tender T-2026-01</t>
  </si>
  <si>
    <t xml:space="preserve">T13@200</t>
  </si>
  <si>
    <t xml:space="preserve">Drainage/DRN-UD-0600x0900-VEH-A.dwg</t>
  </si>
  <si>
    <t xml:space="preserve">Drainage/DRN-UD-0600x0900-VEH-A.pdf</t>
  </si>
  <si>
    <t xml:space="preserve">Drainage/Calcs/DRN-UD-0600x0900-VEH-A_calc.pdf</t>
  </si>
  <si>
    <t xml:space="preserve">EXAMPLE. Superseded by Rev B.</t>
  </si>
  <si>
    <t xml:space="preserve">T16@150</t>
  </si>
  <si>
    <t xml:space="preserve">2.0 m / 10 kPa</t>
  </si>
  <si>
    <t xml:space="preserve">STD-DRN-004</t>
  </si>
  <si>
    <t xml:space="preserve">Drainage/DRN-UD-0900x1200-VEH-A.dwg</t>
  </si>
  <si>
    <t xml:space="preserve">Drainage/DRN-UD-0900x1200-VEH-A.pdf</t>
  </si>
  <si>
    <t xml:space="preserve">Drainage/Calcs/DRN-UD-0900x1200-VEH-A_calc.pdf</t>
  </si>
  <si>
    <t xml:space="preserve">T20@150</t>
  </si>
  <si>
    <t xml:space="preserve">2.0 m / 20 kPa</t>
  </si>
  <si>
    <t xml:space="preserve">STD-DRN-005</t>
  </si>
  <si>
    <t xml:space="preserve">Drainage/DRN-UD-1200x1500-HVY-A.dwg</t>
  </si>
  <si>
    <t xml:space="preserve">Drainage/DRN-UD-1200x1500-HVY-A.pdf</t>
  </si>
  <si>
    <t xml:space="preserve">Drainage/Calcs/DRN-UD-1200x1500-HVY-A_calc.pdf</t>
  </si>
  <si>
    <t xml:space="preserve">EXAMPLE values. Awaiting QP approval.</t>
  </si>
  <si>
    <t xml:space="preserve">1.0-3.0 m fill</t>
  </si>
  <si>
    <t xml:space="preserve">STD-DRN-006</t>
  </si>
  <si>
    <t xml:space="preserve">Drainage/DRN-BC-1500x1500-VEH-A.dwg</t>
  </si>
  <si>
    <t xml:space="preserve">Drainage/DRN-BC-1500x1500-VEH-A.pdf</t>
  </si>
  <si>
    <t xml:space="preserve">Drainage/Calcs/DRN-BC-1500x1500-VEH-A_calc.pdf</t>
  </si>
  <si>
    <t xml:space="preserve">EXAMPLE values. Precast: formwork by supplier.</t>
  </si>
  <si>
    <t xml:space="preserve">-</t>
  </si>
  <si>
    <t xml:space="preserve">STD-DRN-007</t>
  </si>
  <si>
    <t xml:space="preserve">Drainage/DRN-SP-0900x1200-PED-A.dwg</t>
  </si>
  <si>
    <t xml:space="preserve">Drainage/DRN-SP-0900x1200-PED-A.pdf</t>
  </si>
  <si>
    <t xml:space="preserve">Drainage/Calcs/DRN-SP-0900x1200-PED-A_calc.pdf</t>
  </si>
  <si>
    <t xml:space="preserve">EXAMPLE. Quantities per NR (not per m).</t>
  </si>
  <si>
    <t xml:space="preserve">Retaining Wall Standard Design Register</t>
  </si>
  <si>
    <t xml:space="preserve">One row per design variant. Design ID builds itself from Type, H, surcharge, GWT and Rev. Quantities per metre run of wall.</t>
  </si>
  <si>
    <t xml:space="preserve">GWT Behind Wall (Y/N)</t>
  </si>
  <si>
    <t xml:space="preserve">Soil Class</t>
  </si>
  <si>
    <t xml:space="preserve">phi' (deg)</t>
  </si>
  <si>
    <t xml:space="preserve">gamma (kN/m3)</t>
  </si>
  <si>
    <t xml:space="preserve">Stem Top Thk (mm)</t>
  </si>
  <si>
    <t xml:space="preserve">Stem Bottom Thk (mm)</t>
  </si>
  <si>
    <t xml:space="preserve">Base Width (mm)</t>
  </si>
  <si>
    <t xml:space="preserve">Toe (mm)</t>
  </si>
  <si>
    <t xml:space="preserve">Heel (mm)</t>
  </si>
  <si>
    <t xml:space="preserve">Cover (mm)</t>
  </si>
  <si>
    <t xml:space="preserve">Stem Main Bar</t>
  </si>
  <si>
    <t xml:space="preserve">FOS Sliding</t>
  </si>
  <si>
    <t xml:space="preserve">FOS Overturning</t>
  </si>
  <si>
    <t xml:space="preserve">Max Bearing (kPa)</t>
  </si>
  <si>
    <t xml:space="preserve">SS EN 1997-1 DA1; SS EN 1992-1-1</t>
  </si>
  <si>
    <t xml:space="preserve">STD-RW-001</t>
  </si>
  <si>
    <t xml:space="preserve">RetainingWall/RW-LW-H1000-S10-A.dwg</t>
  </si>
  <si>
    <t xml:space="preserve">RetainingWall/RW-LW-H1000-S10-A.pdf</t>
  </si>
  <si>
    <t xml:space="preserve">RetainingWall/Calcs/RW-LW-H1000-S10-A_calc.pdf</t>
  </si>
  <si>
    <t xml:space="preserve">STD-RW-002</t>
  </si>
  <si>
    <t xml:space="preserve">RetainingWall/RW-CANT-H1500-S10-A.dwg</t>
  </si>
  <si>
    <t xml:space="preserve">RetainingWall/RW-CANT-H1500-S10-A.pdf</t>
  </si>
  <si>
    <t xml:space="preserve">RetainingWall/Calcs/RW-CANT-H1500-S10-A_calc.pdf</t>
  </si>
  <si>
    <t xml:space="preserve">STD-RW-003</t>
  </si>
  <si>
    <t xml:space="preserve">RetainingWall/RW-CANT-H2000-S10-A.dwg</t>
  </si>
  <si>
    <t xml:space="preserve">RetainingWall/RW-CANT-H2000-S10-A.pdf</t>
  </si>
  <si>
    <t xml:space="preserve">RetainingWall/Calcs/RW-CANT-H2000-S10-A_calc.pdf</t>
  </si>
  <si>
    <t xml:space="preserve">STD-RW-004</t>
  </si>
  <si>
    <t xml:space="preserve">RetainingWall/RW-CANT-H2500-S10-A.dwg</t>
  </si>
  <si>
    <t xml:space="preserve">RetainingWall/RW-CANT-H2500-S10-A.pdf</t>
  </si>
  <si>
    <t xml:space="preserve">RetainingWall/Calcs/RW-CANT-H2500-S10-A_calc.pdf</t>
  </si>
  <si>
    <t xml:space="preserve">T16@125</t>
  </si>
  <si>
    <t xml:space="preserve">STD-RW-005</t>
  </si>
  <si>
    <t xml:space="preserve">RetainingWall/RW-CANT-H3000-S10-A.dwg</t>
  </si>
  <si>
    <t xml:space="preserve">RetainingWall/RW-CANT-H3000-S10-A.pdf</t>
  </si>
  <si>
    <t xml:space="preserve">RetainingWall/Calcs/RW-CANT-H3000-S10-A_calc.pdf</t>
  </si>
  <si>
    <t xml:space="preserve">STD-RW-006</t>
  </si>
  <si>
    <t xml:space="preserve">RetainingWall/RW-CANT-H3500-S10-A.dwg</t>
  </si>
  <si>
    <t xml:space="preserve">RetainingWall/RW-CANT-H3500-S10-A.pdf</t>
  </si>
  <si>
    <t xml:space="preserve">RetainingWall/Calcs/RW-CANT-H3500-S10-A_calc.pdf</t>
  </si>
  <si>
    <t xml:space="preserve">STD-RW-007</t>
  </si>
  <si>
    <t xml:space="preserve">RetainingWall/RW-CANT-H3000-S20-GW-A.dwg</t>
  </si>
  <si>
    <t xml:space="preserve">RetainingWall/RW-CANT-H3000-S20-GW-A.pdf</t>
  </si>
  <si>
    <t xml:space="preserve">RetainingWall/Calcs/RW-CANT-H3000-S20-GW-A_calc.pdf</t>
  </si>
  <si>
    <t xml:space="preserve">EXAMPLE values. GWT at 1/2 H behind wall.</t>
  </si>
  <si>
    <t xml:space="preserve">T25@150</t>
  </si>
  <si>
    <t xml:space="preserve">T20@125</t>
  </si>
  <si>
    <t xml:space="preserve">STD-RW-008</t>
  </si>
  <si>
    <t xml:space="preserve">RetainingWall/RW-CANT-H4500-S10-A.dwg</t>
  </si>
  <si>
    <t xml:space="preserve">RetainingWall/RW-CANT-H4500-S10-A.pdf</t>
  </si>
  <si>
    <t xml:space="preserve">RetainingWall/Calcs/RW-CANT-H4500-S10-A_calc.pdf</t>
  </si>
  <si>
    <t xml:space="preserve">STD-RW-009</t>
  </si>
  <si>
    <t xml:space="preserve">RetainingWall/RW-GRAV-H1500-S5-A.dwg</t>
  </si>
  <si>
    <t xml:space="preserve">RetainingWall/RW-GRAV-H1500-S5-A.pdf</t>
  </si>
  <si>
    <t xml:space="preserve">RetainingWall/Calcs/RW-GRAV-H1500-S5-A_calc.pdf</t>
  </si>
  <si>
    <t xml:space="preserve">EXAMPLE. Mass concrete, no rebar.</t>
  </si>
  <si>
    <t xml:space="preserve">Other Structures Standard Design Register</t>
  </si>
  <si>
    <t xml:space="preserve">LTA linkway, railing, staircase, POB, USD and others. Type ONE short Type word (no spaces) so the Design ID stays readable. Pick Qty Unit for each row.</t>
  </si>
  <si>
    <t xml:space="preserve">Type (short, e.g. DoubleSpan)</t>
  </si>
  <si>
    <t xml:space="preserve">Span / Length (m)</t>
  </si>
  <si>
    <t xml:space="preserve">Height / Rise (m)</t>
  </si>
  <si>
    <t xml:space="preserve">Width (m)</t>
  </si>
  <si>
    <t xml:space="preserve">Design Load</t>
  </si>
  <si>
    <t xml:space="preserve">Foundation</t>
  </si>
  <si>
    <t xml:space="preserve">Material</t>
  </si>
  <si>
    <t xml:space="preserve">Key Members / Reinforcement</t>
  </si>
  <si>
    <t xml:space="preserve">Qty Unit</t>
  </si>
  <si>
    <t xml:space="preserve">Concrete (m3/unit)</t>
  </si>
  <si>
    <t xml:space="preserve">Rebar / Steel (kg/unit)</t>
  </si>
  <si>
    <t xml:space="preserve">Formwork (m2/unit)</t>
  </si>
  <si>
    <t xml:space="preserve">Excavation (m3/unit)</t>
  </si>
  <si>
    <t xml:space="preserve">Single Span</t>
  </si>
  <si>
    <t xml:space="preserve">Wind + 0.75 kPa roof</t>
  </si>
  <si>
    <t xml:space="preserve">Pad footing</t>
  </si>
  <si>
    <t xml:space="preserve">Steel / metal deck</t>
  </si>
  <si>
    <t xml:space="preserve">UC 152x152x30 columns</t>
  </si>
  <si>
    <t xml:space="preserve">SS EN 1990/1991/1993; LTA SDRE</t>
  </si>
  <si>
    <t xml:space="preserve">STD-LKW-001</t>
  </si>
  <si>
    <t xml:space="preserve">Others/LKW-SINGLESPAN-SP6000-H3000-A.dwg</t>
  </si>
  <si>
    <t xml:space="preserve">Others/LKW-SINGLESPAN-SP6000-H3000-A.pdf</t>
  </si>
  <si>
    <t xml:space="preserve">Others/Calcs/LKW-SINGLESPAN-SP6000-H3000-A_calc.pdf</t>
  </si>
  <si>
    <t xml:space="preserve">EXAMPLE values. Per span incl. 2 footings.</t>
  </si>
  <si>
    <t xml:space="preserve">Double Span</t>
  </si>
  <si>
    <t xml:space="preserve">CHS 168 columns</t>
  </si>
  <si>
    <t xml:space="preserve">STD-LKW-002</t>
  </si>
  <si>
    <t xml:space="preserve">Others/LKW-DOUBLESPAN-SP6000-H3000-A.dwg</t>
  </si>
  <si>
    <t xml:space="preserve">Others/LKW-DOUBLESPAN-SP6000-H3000-A.pdf</t>
  </si>
  <si>
    <t xml:space="preserve">Others/Calcs/LKW-DOUBLESPAN-SP6000-H3000-A_calc.pdf</t>
  </si>
  <si>
    <t xml:space="preserve">1.5 kN/m line load</t>
  </si>
  <si>
    <t xml:space="preserve">Cast-in plate</t>
  </si>
  <si>
    <t xml:space="preserve">Galv. steel</t>
  </si>
  <si>
    <t xml:space="preserve">50x50 SHS posts @1.5 m</t>
  </si>
  <si>
    <t xml:space="preserve">STD-RLG-001</t>
  </si>
  <si>
    <t xml:space="preserve">Others/RLG-PEDESTRIAN-H1000-A.dwg</t>
  </si>
  <si>
    <t xml:space="preserve">Others/RLG-PEDESTRIAN-H1000-A.pdf</t>
  </si>
  <si>
    <t xml:space="preserve">Others/Calcs/RLG-PEDESTRIAN-H1000-A_calc.pdf</t>
  </si>
  <si>
    <t xml:space="preserve">Parapet</t>
  </si>
  <si>
    <t xml:space="preserve">3.0 kN/m line load</t>
  </si>
  <si>
    <t xml:space="preserve">Bolted to RC kerb</t>
  </si>
  <si>
    <t xml:space="preserve">100x50 RHS posts @1.2 m</t>
  </si>
  <si>
    <t xml:space="preserve">STD-RLG-002</t>
  </si>
  <si>
    <t xml:space="preserve">Others/RLG-PARAPET-H1100-A.dwg</t>
  </si>
  <si>
    <t xml:space="preserve">Others/RLG-PARAPET-H1100-A.pdf</t>
  </si>
  <si>
    <t xml:space="preserve">Others/Calcs/RLG-PARAPET-H1100-A_calc.pdf</t>
  </si>
  <si>
    <t xml:space="preserve">RC Straight Flight</t>
  </si>
  <si>
    <t xml:space="preserve">5 kPa imposed</t>
  </si>
  <si>
    <t xml:space="preserve">Ground beam</t>
  </si>
  <si>
    <t xml:space="preserve">RC C32/40</t>
  </si>
  <si>
    <t xml:space="preserve">Waist 175, T13@150</t>
  </si>
  <si>
    <t xml:space="preserve">STD-STR-001</t>
  </si>
  <si>
    <t xml:space="preserve">Others/STR-RCSTRAIGHTFLIGHT-SP3600-H3000-A.dwg</t>
  </si>
  <si>
    <t xml:space="preserve">Others/STR-RCSTRAIGHTFLIGHT-SP3600-H3000-A.pdf</t>
  </si>
  <si>
    <t xml:space="preserve">Others/Calcs/STR-RCSTRAIGHTFLIGHT-SP3600-H3000-A_calc.pdf</t>
  </si>
  <si>
    <t xml:space="preserve">EXAMPLE. Per flight.</t>
  </si>
  <si>
    <t xml:space="preserve">Steel Truss with Lift</t>
  </si>
  <si>
    <t xml:space="preserve">5 kPa crowd; SS EN 1991-2</t>
  </si>
  <si>
    <t xml:space="preserve">Bored piles</t>
  </si>
  <si>
    <t xml:space="preserve">Steel truss</t>
  </si>
  <si>
    <t xml:space="preserve">Warren truss, CHS chords</t>
  </si>
  <si>
    <t xml:space="preserve">STD-POB-001</t>
  </si>
  <si>
    <t xml:space="preserve">Others/POB-STEELTRUSSWITHLIFT-SP30000-H5700-A.dwg</t>
  </si>
  <si>
    <t xml:space="preserve">Others/POB-STEELTRUSSWITHLIFT-SP30000-H5700-A.pdf</t>
  </si>
  <si>
    <t xml:space="preserve">Others/Calcs/POB-STEELTRUSSWITHLIFT-SP30000-H5700-A_calc.pdf</t>
  </si>
  <si>
    <t xml:space="preserve">EXAMPLE. Indicative only - project-specific design needed.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</si>
</sst>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"/>
    <numFmt numFmtId="167" formatCode="0.000"/>
    <numFmt numFmtId="168" formatCode="0.0"/>
    <numFmt numFmtId="169" formatCode="#,##0.0"/>
    <numFmt numFmtId="170" formatCode="#,##0.00"/>
    <numFmt numFmtId="171" formatCode="0"/>
    <numFmt numFmtId="172" formatCode="dd\-mmm\-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7F7F7F"/>
        <bgColor rgb="FF96969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rain" displayName="tblDrain" ref="A4:AH304" headerRowCount="1" totalsRowCount="0" totalsRowShown="0">
  <autoFilter ref="A4:AH304"/>
  <tableColumns count="34">
    <tableColumn id="1" name="Design ID"/>
    <tableColumn id="2" name="Description"/>
    <tableColumn id="3" name="Drain Type"/>
    <tableColumn id="4" name="Internal Width (mm)"/>
    <tableColumn id="5" name="Internal Depth (mm)"/>
    <tableColumn id="6" name="Wall Thk (mm)"/>
    <tableColumn id="7" name="Base Thk (mm)"/>
    <tableColumn id="8" name="Loading"/>
    <tableColumn id="9" name="Construction"/>
    <tableColumn id="10" name="Cover Type"/>
    <tableColumn id="11" name="Concrete Grade"/>
    <tableColumn id="12" name="Cover to Rebar (mm)"/>
    <tableColumn id="13" name="Wall Main Bar"/>
    <tableColumn id="14" name="Base Main Bar"/>
    <tableColumn id="15" name="Distribution Bar"/>
    <tableColumn id="16" name="Max Backfill / Surcharge"/>
    <tableColumn id="17" name="Code Basis"/>
    <tableColumn id="18" name="Rev"/>
    <tableColumn id="19" name="Status"/>
    <tableColumn id="20" name="Drawing No."/>
    <tableColumn id="21" name="Tender Detail DWG (file / link)"/>
    <tableColumn id="22" name="PDF (file / link)"/>
    <tableColumn id="23" name="Calc Report (file / link)"/>
    <tableColumn id="24" name="Concrete (m3/m)"/>
    <tableColumn id="25" name="Rebar (kg/m)"/>
    <tableColumn id="26" name="Formwork (m2/m)"/>
    <tableColumn id="27" name="Excavation (m3/m)"/>
    <tableColumn id="28" name="Limitations / Notes"/>
    <tableColumn id="29" name="Projects / Tenders Used"/>
    <tableColumn id="30" name="Designer"/>
    <tableColumn id="31" name="Checker"/>
    <tableColumn id="32" name="Approved By (QP)"/>
    <tableColumn id="33" name="Approval Date"/>
    <tableColumn id="34" name="Selector Key"/>
  </tableColumns>
</table>
</file>

<file path=xl/tables/table2.xml><?xml version="1.0" encoding="utf-8"?>
<table xmlns="http://schemas.openxmlformats.org/spreadsheetml/2006/main" id="2" name="tblOther" displayName="tblOther" ref="A4:AC304" headerRowCount="1" totalsRowCount="0" totalsRowShown="0">
  <autoFilter ref="A4:AC304"/>
  <tableColumns count="29">
    <tableColumn id="1" name="Design ID"/>
    <tableColumn id="2" name="Description"/>
    <tableColumn id="3" name="Family"/>
    <tableColumn id="4" name="Type (short, e.g. DoubleSpan)"/>
    <tableColumn id="5" name="Span / Length (m)"/>
    <tableColumn id="6" name="Height / Rise (m)"/>
    <tableColumn id="7" name="Width (m)"/>
    <tableColumn id="8" name="Design Load"/>
    <tableColumn id="9" name="Foundation"/>
    <tableColumn id="10" name="Material"/>
    <tableColumn id="11" name="Key Members / Reinforcement"/>
    <tableColumn id="12" name="Code Basis"/>
    <tableColumn id="13" name="Rev"/>
    <tableColumn id="14" name="Status"/>
    <tableColumn id="15" name="Drawing No."/>
    <tableColumn id="16" name="Tender Detail DWG (file / link)"/>
    <tableColumn id="17" name="PDF (file / link)"/>
    <tableColumn id="18" name="Calc Report (file / link)"/>
    <tableColumn id="19" name="Qty Unit"/>
    <tableColumn id="20" name="Concrete (m3/unit)"/>
    <tableColumn id="21" name="Rebar / Steel (kg/unit)"/>
    <tableColumn id="22" name="Formwork (m2/unit)"/>
    <tableColumn id="23" name="Excavation (m3/unit)"/>
    <tableColumn id="24" name="Limitations / Notes"/>
    <tableColumn id="25" name="Projects / Tenders Used"/>
    <tableColumn id="26" name="Designer"/>
    <tableColumn id="27" name="Checker"/>
    <tableColumn id="28" name="Approved By (QP)"/>
    <tableColumn id="29" name="Approval Date"/>
  </tableColumns>
</table>
</file>

<file path=xl/tables/table3.xml><?xml version="1.0" encoding="utf-8"?>
<table xmlns="http://schemas.openxmlformats.org/spreadsheetml/2006/main" id="3" name="tblRW" displayName="tblRW" ref="A4:AN304" headerRowCount="1" totalsRowCount="0" totalsRowShown="0">
  <autoFilter ref="A4:AN304"/>
  <tableColumns count="40">
    <tableColumn id="1" name="Design ID"/>
    <tableColumn id="2" name="Description"/>
    <tableColumn id="3" name="Wall Type"/>
    <tableColumn id="4" name="Retained Height (m)"/>
    <tableColumn id="5" name="Surcharge (kPa)"/>
    <tableColumn id="6" name="GWT Behind Wall (Y/N)"/>
    <tableColumn id="7" name="Soil Class"/>
    <tableColumn id="8" name="phi' (deg)"/>
    <tableColumn id="9" name="gamma (kN/m3)"/>
    <tableColumn id="10" name="Stem Top Thk (mm)"/>
    <tableColumn id="11" name="Stem Bottom Thk (mm)"/>
    <tableColumn id="12" name="Base Width (mm)"/>
    <tableColumn id="13" name="Toe (mm)"/>
    <tableColumn id="14" name="Heel (mm)"/>
    <tableColumn id="15" name="Base Thk (mm)"/>
    <tableColumn id="16" name="Concrete Grade"/>
    <tableColumn id="17" name="Cover (mm)"/>
    <tableColumn id="18" name="Stem Main Bar"/>
    <tableColumn id="19" name="Base Main Bar"/>
    <tableColumn id="20" name="FOS Sliding"/>
    <tableColumn id="21" name="FOS Overturning"/>
    <tableColumn id="22" name="Max Bearing (kPa)"/>
    <tableColumn id="23" name="Code Basis"/>
    <tableColumn id="24" name="Rev"/>
    <tableColumn id="25" name="Status"/>
    <tableColumn id="26" name="Drawing No."/>
    <tableColumn id="27" name="Tender Detail DWG (file / link)"/>
    <tableColumn id="28" name="PDF (file / link)"/>
    <tableColumn id="29" name="Calc Report (file / link)"/>
    <tableColumn id="30" name="Concrete (m3/m)"/>
    <tableColumn id="31" name="Rebar (kg/m)"/>
    <tableColumn id="32" name="Formwork (m2/m)"/>
    <tableColumn id="33" name="Excavation (m3/m)"/>
    <tableColumn id="34" name="Limitations / Notes"/>
    <tableColumn id="35" name="Projects / Tenders Used"/>
    <tableColumn id="36" name="Designer"/>
    <tableColumn id="37" name="Checker"/>
    <tableColumn id="38" name="Approved By (QP)"/>
    <tableColumn id="39" name="Approval Date"/>
    <tableColumn id="40" name="Selector 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23.8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4" t="s">
        <v>18</v>
      </c>
    </row>
    <row r="14" customFormat="false" ht="15" hidden="false" customHeight="false" outlineLevel="0" collapsed="false">
      <c r="A14" s="2" t="s">
        <v>19</v>
      </c>
      <c r="B14" s="3" t="s">
        <v>20</v>
      </c>
    </row>
    <row r="15" customFormat="false" ht="1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4" t="s">
        <v>27</v>
      </c>
    </row>
    <row r="20" customFormat="false" ht="15" hidden="false" customHeight="false" outlineLevel="0" collapsed="false">
      <c r="A20" s="2" t="s">
        <v>28</v>
      </c>
      <c r="B20" s="3" t="s">
        <v>29</v>
      </c>
    </row>
    <row r="21" customFormat="false" ht="15" hidden="false" customHeight="false" outlineLevel="0" collapsed="false">
      <c r="A21" s="2" t="s">
        <v>30</v>
      </c>
      <c r="B21" s="3" t="s">
        <v>31</v>
      </c>
    </row>
    <row r="22" customFormat="false" ht="15" hidden="false" customHeight="false" outlineLevel="0" collapsed="false">
      <c r="A22" s="2" t="s">
        <v>32</v>
      </c>
      <c r="B22" s="3" t="s">
        <v>33</v>
      </c>
    </row>
    <row r="23" customFormat="false" ht="15" hidden="false" customHeight="false" outlineLevel="0" collapsed="false">
      <c r="A23" s="2" t="s">
        <v>34</v>
      </c>
      <c r="B23" s="3" t="s">
        <v>35</v>
      </c>
    </row>
    <row r="24" customFormat="false" ht="15" hidden="false" customHeight="false" outlineLevel="0" collapsed="false">
      <c r="A24" s="2"/>
      <c r="B24" s="3"/>
    </row>
    <row r="25" customFormat="false" ht="15" hidden="false" customHeight="false" outlineLevel="0" collapsed="false">
      <c r="A25" s="4" t="s">
        <v>36</v>
      </c>
    </row>
    <row r="26" customFormat="false" ht="15" hidden="false" customHeight="false" outlineLevel="0" collapsed="false">
      <c r="A26" s="2" t="s">
        <v>37</v>
      </c>
      <c r="B26" s="3" t="s">
        <v>38</v>
      </c>
    </row>
    <row r="27" customFormat="false" ht="23.85" hidden="false" customHeight="false" outlineLevel="0" collapsed="false">
      <c r="A27" s="2" t="s">
        <v>39</v>
      </c>
      <c r="B27" s="3" t="s">
        <v>40</v>
      </c>
    </row>
    <row r="28" customFormat="false" ht="15" hidden="false" customHeight="false" outlineLevel="0" collapsed="false">
      <c r="A28" s="2" t="s">
        <v>41</v>
      </c>
      <c r="B28" s="3" t="s">
        <v>42</v>
      </c>
    </row>
    <row r="29" customFormat="false" ht="23.85" hidden="false" customHeight="false" outlineLevel="0" collapsed="false">
      <c r="A29" s="2" t="s">
        <v>43</v>
      </c>
      <c r="B29" s="3" t="s">
        <v>44</v>
      </c>
    </row>
    <row r="30" customFormat="false" ht="15" hidden="false" customHeight="false" outlineLevel="0" collapsed="false">
      <c r="A30" s="2"/>
      <c r="B30" s="3"/>
    </row>
    <row r="31" customFormat="false" ht="15" hidden="false" customHeight="false" outlineLevel="0" collapsed="false">
      <c r="A31" s="4" t="s">
        <v>45</v>
      </c>
    </row>
    <row r="32" customFormat="false" ht="23.85" hidden="false" customHeight="false" outlineLevel="0" collapsed="false">
      <c r="A32" s="2" t="s">
        <v>46</v>
      </c>
      <c r="B32" s="3" t="s">
        <v>47</v>
      </c>
    </row>
    <row r="33" customFormat="false" ht="23.85" hidden="false" customHeight="false" outlineLevel="0" collapsed="false">
      <c r="A33" s="2" t="s">
        <v>48</v>
      </c>
      <c r="B33" s="3" t="s">
        <v>49</v>
      </c>
    </row>
    <row r="34" customFormat="false" ht="23.85" hidden="false" customHeight="false" outlineLevel="0" collapsed="false">
      <c r="A34" s="2" t="s">
        <v>50</v>
      </c>
      <c r="B34" s="3" t="s">
        <v>51</v>
      </c>
    </row>
    <row r="35" customFormat="false" ht="15" hidden="false" customHeight="false" outlineLevel="0" collapsed="false">
      <c r="A35" s="2"/>
      <c r="B35" s="3"/>
    </row>
    <row r="36" customFormat="false" ht="23.85" hidden="false" customHeight="false" outlineLevel="0" collapsed="false">
      <c r="A36" s="2" t="s">
        <v>52</v>
      </c>
      <c r="B36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5" t="s">
        <v>54</v>
      </c>
    </row>
    <row r="2" customFormat="false" ht="15" hidden="false" customHeight="false" outlineLevel="0" collapsed="false">
      <c r="A2" s="6" t="s">
        <v>55</v>
      </c>
    </row>
    <row r="4" customFormat="false" ht="15" hidden="false" customHeight="false" outlineLevel="0" collapsed="false">
      <c r="A4" s="7" t="s">
        <v>56</v>
      </c>
      <c r="B4" s="7"/>
      <c r="D4" s="7" t="s">
        <v>57</v>
      </c>
      <c r="E4" s="7"/>
    </row>
    <row r="5" customFormat="false" ht="15" hidden="false" customHeight="false" outlineLevel="0" collapsed="false">
      <c r="A5" s="8" t="s">
        <v>58</v>
      </c>
      <c r="B5" s="9" t="s">
        <v>59</v>
      </c>
      <c r="D5" s="8" t="s">
        <v>60</v>
      </c>
      <c r="E5" s="9" t="s">
        <v>61</v>
      </c>
    </row>
    <row r="6" customFormat="false" ht="15" hidden="false" customHeight="false" outlineLevel="0" collapsed="false">
      <c r="A6" s="8" t="s">
        <v>62</v>
      </c>
      <c r="B6" s="9" t="n">
        <v>500</v>
      </c>
      <c r="D6" s="8" t="s">
        <v>63</v>
      </c>
      <c r="E6" s="9" t="n">
        <v>2.8</v>
      </c>
    </row>
    <row r="7" customFormat="false" ht="15" hidden="false" customHeight="false" outlineLevel="0" collapsed="false">
      <c r="A7" s="8" t="s">
        <v>64</v>
      </c>
      <c r="B7" s="9" t="n">
        <v>800</v>
      </c>
      <c r="D7" s="8" t="s">
        <v>65</v>
      </c>
      <c r="E7" s="9" t="n">
        <v>10</v>
      </c>
    </row>
    <row r="8" customFormat="false" ht="15" hidden="false" customHeight="false" outlineLevel="0" collapsed="false">
      <c r="A8" s="8" t="s">
        <v>66</v>
      </c>
      <c r="B8" s="9" t="s">
        <v>67</v>
      </c>
      <c r="D8" s="8" t="s">
        <v>68</v>
      </c>
      <c r="E8" s="9" t="s">
        <v>69</v>
      </c>
    </row>
    <row r="10" customFormat="false" ht="15" hidden="false" customHeight="false" outlineLevel="0" collapsed="false">
      <c r="A10" s="8" t="s">
        <v>70</v>
      </c>
      <c r="B10" s="10" t="n">
        <f aca="false">_xlfn.MINIFS(Drain_Register!$D$5:$D$304,Drain_Register!$C$5:$C$304,B5,Drain_Register!$H$5:$H$304,B8,Drain_Register!$S$5:$S$304,"Approved",Drain_Register!$D$5:$D$304,"&gt;="&amp;B6,Drain_Register!$E$5:$E$304,"&gt;="&amp;B7)</f>
        <v>600</v>
      </c>
      <c r="D10" s="8" t="s">
        <v>71</v>
      </c>
      <c r="E10" s="11" t="n">
        <f aca="false">_xlfn.MINIFS(RW_Register!$D$5:$D$304,RW_Register!$C$5:$C$304,E5,RW_Register!$Y$5:$Y$304,"Approved",RW_Register!$D$5:$D$304,"&gt;="&amp;E6,RW_Register!$E$5:$E$304,"&gt;="&amp;E7,RW_Register!$F$5:$F$304,IF(E8="Y","Y","&lt;&gt;#"))</f>
        <v>3</v>
      </c>
    </row>
    <row r="11" customFormat="false" ht="15" hidden="false" customHeight="false" outlineLevel="0" collapsed="false">
      <c r="A11" s="8" t="s">
        <v>72</v>
      </c>
      <c r="B11" s="10" t="n">
        <f aca="false">IF(B10=0,0,_xlfn.MINIFS(Drain_Register!$E$5:$E$304,Drain_Register!$C$5:$C$304,B5,Drain_Register!$H$5:$H$304,B8,Drain_Register!$S$5:$S$304,"Approved",Drain_Register!$D$5:$D$304,B10,Drain_Register!$E$5:$E$304,"&gt;="&amp;B7))</f>
        <v>900</v>
      </c>
      <c r="D11" s="8" t="s">
        <v>73</v>
      </c>
      <c r="E11" s="10" t="n">
        <f aca="false">IF(E10=0,0,_xlfn.MINIFS(RW_Register!$E$5:$E$304,RW_Register!$C$5:$C$304,E5,RW_Register!$Y$5:$Y$304,"Approved",RW_Register!$D$5:$D$304,E10,RW_Register!$E$5:$E$304,"&gt;="&amp;E7,RW_Register!$F$5:$F$304,IF(E8="Y","Y","&lt;&gt;#")))</f>
        <v>10</v>
      </c>
    </row>
    <row r="12" customFormat="false" ht="15" hidden="false" customHeight="false" outlineLevel="0" collapsed="false">
      <c r="A12" s="8" t="s">
        <v>74</v>
      </c>
      <c r="B12" s="10" t="n">
        <f aca="false">IFERROR(MATCH(B5&amp;"|"&amp;B10&amp;"|"&amp;B11&amp;"|"&amp;B8&amp;"|Approved",Drain_Register!$AH$5:$AH$304,0),0)</f>
        <v>3</v>
      </c>
      <c r="D12" s="8" t="s">
        <v>75</v>
      </c>
      <c r="E12" s="10" t="str">
        <f aca="false">IF(E10=0,"",IF(E8="Y","Y",IF(COUNTIFS(RW_Register!$C$5:$C$304,E5,RW_Register!$Y$5:$Y$304,"Approved",RW_Register!$D$5:$D$304,E10,RW_Register!$E$5:$E$304,E11,RW_Register!$F$5:$F$304,"N")&gt;0,"N","Y")))</f>
        <v>N</v>
      </c>
    </row>
    <row r="13" customFormat="false" ht="15" hidden="false" customHeight="false" outlineLevel="0" collapsed="false">
      <c r="D13" s="8" t="s">
        <v>74</v>
      </c>
      <c r="E13" s="10" t="n">
        <f aca="false">IFERROR(MATCH(E5&amp;"|"&amp;E10&amp;"|"&amp;E11&amp;"|"&amp;E12&amp;"|Approved",RW_Register!$AN$5:$AN$304,0),0)</f>
        <v>5</v>
      </c>
    </row>
    <row r="14" customFormat="false" ht="15" hidden="false" customHeight="false" outlineLevel="0" collapsed="false">
      <c r="A14" s="8" t="s">
        <v>76</v>
      </c>
      <c r="B14" s="12" t="str">
        <f aca="false">IF(B12=0,"NO STANDARD DESIGN - bespoke design needed",IF(OR(B10&gt;B6,B11&gt;B7),"Match (conservative: larger than required)","Exact match"))</f>
        <v>Match (conservative: larger than required)</v>
      </c>
      <c r="D14" s="8" t="s">
        <v>76</v>
      </c>
      <c r="E14" s="12" t="str">
        <f aca="false">IF(E13=0,"NO STANDARD DESIGN - bespoke design needed",IF(OR(E10&gt;E6,E11&gt;E7,E12&lt;&gt;E8),"Match (conservative: covers a worse case)","Exact match"))</f>
        <v>Match (conservative: covers a worse case)</v>
      </c>
    </row>
    <row r="15" customFormat="false" ht="15" hidden="false" customHeight="false" outlineLevel="0" collapsed="false">
      <c r="A15" s="8" t="s">
        <v>77</v>
      </c>
      <c r="B15" s="12" t="str">
        <f aca="false">IF($B$12=0,"",INDEX(Drain_Register!$A$5:$A$304,$B$12))</f>
        <v>DRN-UD-0600x0900-VEH-B</v>
      </c>
      <c r="D15" s="8" t="s">
        <v>77</v>
      </c>
      <c r="E15" s="12" t="str">
        <f aca="false">IF($E$13=0,"",INDEX(RW_Register!$A$5:$A$304,$E$13))</f>
        <v>RW-CANT-H3000-S10-A</v>
      </c>
    </row>
    <row r="16" customFormat="false" ht="15" hidden="false" customHeight="false" outlineLevel="0" collapsed="false">
      <c r="A16" s="8" t="s">
        <v>78</v>
      </c>
      <c r="B16" s="13" t="str">
        <f aca="false">IF($B$12=0,"",INDEX(Drain_Register!$B$5:$B$304,$B$12))</f>
        <v>U-Drain 600W x 900D, Vehicular (LM1), Cast-in-situ</v>
      </c>
      <c r="D16" s="8" t="s">
        <v>78</v>
      </c>
      <c r="E16" s="13" t="str">
        <f aca="false">IF($E$13=0,"",INDEX(RW_Register!$B$5:$B$304,$E$13))</f>
        <v>Cantilever RC, H = 3.0 m, q = 10 kPa</v>
      </c>
    </row>
    <row r="17" customFormat="false" ht="15" hidden="false" customHeight="false" outlineLevel="0" collapsed="false">
      <c r="A17" s="8" t="s">
        <v>79</v>
      </c>
      <c r="B17" s="13" t="str">
        <f aca="false">IF($B$12=0,"",INDEX(Drain_Register!$R$5:$R$304,$B$12))</f>
        <v>B</v>
      </c>
      <c r="D17" s="8" t="s">
        <v>79</v>
      </c>
      <c r="E17" s="13" t="str">
        <f aca="false">IF($E$13=0,"",INDEX(RW_Register!$X$5:$X$304,$E$13))</f>
        <v>A</v>
      </c>
    </row>
    <row r="18" customFormat="false" ht="15" hidden="false" customHeight="false" outlineLevel="0" collapsed="false">
      <c r="A18" s="8" t="s">
        <v>80</v>
      </c>
      <c r="B18" s="13" t="str">
        <f aca="false">IF($B$12=0,"",INDEX(Drain_Register!$T$5:$T$304,$B$12))</f>
        <v>STD-DRN-003</v>
      </c>
      <c r="D18" s="8" t="s">
        <v>80</v>
      </c>
      <c r="E18" s="13" t="str">
        <f aca="false">IF($E$13=0,"",INDEX(RW_Register!$Z$5:$Z$304,$E$13))</f>
        <v>STD-RW-005</v>
      </c>
    </row>
    <row r="19" customFormat="false" ht="15" hidden="false" customHeight="false" outlineLevel="0" collapsed="false">
      <c r="A19" s="8" t="s">
        <v>81</v>
      </c>
      <c r="B19" s="13" t="str">
        <f aca="false">IF($B$12=0,"",INDEX(Drain_Register!$M$5:$M$304,$B$12)&amp;" / "&amp;INDEX(Drain_Register!$N$5:$N$304,$B$12)&amp;" / "&amp;INDEX(Drain_Register!$O$5:$O$304,$B$12))</f>
        <v>T13@150 / T13@150 / T10@200</v>
      </c>
      <c r="D19" s="8" t="s">
        <v>82</v>
      </c>
      <c r="E19" s="13" t="str">
        <f aca="false">IF($E$13=0,"",INDEX(RW_Register!$R$5:$R$304,$E$13)&amp;" / "&amp;INDEX(RW_Register!$S$5:$S$304,$E$13))</f>
        <v>T16@125 / T16@150</v>
      </c>
    </row>
    <row r="20" customFormat="false" ht="15" hidden="false" customHeight="false" outlineLevel="0" collapsed="false">
      <c r="A20" s="8" t="s">
        <v>83</v>
      </c>
      <c r="B20" s="13" t="str">
        <f aca="false">IF($B$12=0,"",INDEX(Drain_Register!$U$5:$U$304,$B$12))</f>
        <v>Drainage/DRN-UD-0600x0900-VEH-B.dwg</v>
      </c>
      <c r="D20" s="8" t="s">
        <v>83</v>
      </c>
      <c r="E20" s="13" t="str">
        <f aca="false">IF($E$13=0,"",INDEX(RW_Register!$AA$5:$AA$304,$E$13))</f>
        <v>RetainingWall/RW-CANT-H3000-S10-A.dwg</v>
      </c>
    </row>
    <row r="21" customFormat="false" ht="15" hidden="false" customHeight="false" outlineLevel="0" collapsed="false">
      <c r="A21" s="8" t="s">
        <v>84</v>
      </c>
      <c r="B21" s="13" t="str">
        <f aca="false">IF($B$12=0,"",INDEX(Drain_Register!$V$5:$V$304,$B$12))</f>
        <v>Drainage/DRN-UD-0600x0900-VEH-B.pdf</v>
      </c>
      <c r="D21" s="8" t="s">
        <v>84</v>
      </c>
      <c r="E21" s="13" t="str">
        <f aca="false">IF($E$13=0,"",INDEX(RW_Register!$AB$5:$AB$304,$E$13))</f>
        <v>RetainingWall/RW-CANT-H3000-S10-A.pdf</v>
      </c>
    </row>
    <row r="22" customFormat="false" ht="23.85" hidden="false" customHeight="false" outlineLevel="0" collapsed="false">
      <c r="A22" s="8" t="s">
        <v>85</v>
      </c>
      <c r="B22" s="13" t="str">
        <f aca="false">IF($B$12=0,"",INDEX(Drain_Register!$W$5:$W$304,$B$12))</f>
        <v>Drainage/Calcs/DRN-UD-0600x0900-VEH-B_calc.pdf</v>
      </c>
      <c r="D22" s="8" t="s">
        <v>85</v>
      </c>
      <c r="E22" s="13" t="str">
        <f aca="false">IF($E$13=0,"",INDEX(RW_Register!$AC$5:$AC$304,$E$13))</f>
        <v>RetainingWall/Calcs/RW-CANT-H3000-S10-A_calc.pdf</v>
      </c>
    </row>
    <row r="23" customFormat="false" ht="15" hidden="false" customHeight="false" outlineLevel="0" collapsed="false">
      <c r="A23" s="8" t="s">
        <v>86</v>
      </c>
      <c r="B23" s="14" t="n">
        <f aca="false">IF($B$12=0,"",INDEX(Drain_Register!$X$5:$X$304,$B$12))</f>
        <v>0.405</v>
      </c>
      <c r="D23" s="8" t="s">
        <v>86</v>
      </c>
      <c r="E23" s="14" t="n">
        <f aca="false">IF($E$13=0,"",INDEX(RW_Register!$AD$5:$AD$304,$E$13))</f>
        <v>2.08</v>
      </c>
    </row>
    <row r="24" customFormat="false" ht="15" hidden="false" customHeight="false" outlineLevel="0" collapsed="false">
      <c r="A24" s="8" t="s">
        <v>87</v>
      </c>
      <c r="B24" s="15" t="n">
        <f aca="false">IF($B$12=0,"",INDEX(Drain_Register!$Y$5:$Y$304,$B$12))</f>
        <v>48</v>
      </c>
      <c r="D24" s="8" t="s">
        <v>87</v>
      </c>
      <c r="E24" s="15" t="n">
        <f aca="false">IF($E$13=0,"",INDEX(RW_Register!$AE$5:$AE$304,$E$13))</f>
        <v>160</v>
      </c>
    </row>
    <row r="25" customFormat="false" ht="23.85" hidden="false" customHeight="false" outlineLevel="0" collapsed="false">
      <c r="A25" s="8" t="s">
        <v>88</v>
      </c>
      <c r="B25" s="13" t="str">
        <f aca="false">IF($B$12=0,"",INDEX(Drain_Register!$AB$5:$AB$304,$B$12))</f>
        <v>EXAMPLE values. Rev A superseded (cover increased).</v>
      </c>
      <c r="D25" s="8" t="s">
        <v>88</v>
      </c>
      <c r="E25" s="13" t="str">
        <f aca="false">IF($E$13=0,"",INDEX(RW_Register!$AH$5:$AH$304,$E$13))</f>
        <v>EXAMPLE values.</v>
      </c>
    </row>
    <row r="27" customFormat="false" ht="15" hidden="false" customHeight="false" outlineLevel="0" collapsed="false">
      <c r="A27" s="6" t="s">
        <v>89</v>
      </c>
    </row>
    <row r="28" customFormat="false" ht="15" hidden="false" customHeight="false" outlineLevel="0" collapsed="false">
      <c r="A28" s="6" t="s">
        <v>90</v>
      </c>
    </row>
  </sheetData>
  <dataValidations count="4">
    <dataValidation allowBlank="true" error="Pick a value from the list (add new values on the Lists sheet)." errorStyle="stop" errorTitle="Not in list" operator="between" showDropDown="false" showErrorMessage="false" showInputMessage="false" sqref="B5" type="list">
      <formula1>Lists!$A$4:$A$21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B8" type="list">
      <formula1>Lists!$D$4:$D$18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E5" type="list">
      <formula1>Lists!$M$4:$M$23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E8" type="list">
      <formula1>Lists!$S$4:$S$16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5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5" min="12" style="0" width="10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5" t="s">
        <v>91</v>
      </c>
    </row>
    <row r="2" customFormat="false" ht="15" hidden="false" customHeight="false" outlineLevel="0" collapsed="false">
      <c r="A2" s="6" t="s">
        <v>92</v>
      </c>
    </row>
    <row r="3" customFormat="false" ht="15" hidden="false" customHeight="false" outlineLevel="0" collapsed="false">
      <c r="A3" s="8" t="s">
        <v>93</v>
      </c>
      <c r="B3" s="9" t="s">
        <v>94</v>
      </c>
      <c r="C3" s="9"/>
      <c r="D3" s="9"/>
    </row>
    <row r="5" customFormat="false" ht="31.5" hidden="false" customHeight="true" outlineLevel="0" collapsed="false">
      <c r="A5" s="16" t="s">
        <v>95</v>
      </c>
      <c r="B5" s="16" t="s">
        <v>77</v>
      </c>
      <c r="C5" s="16" t="s">
        <v>96</v>
      </c>
      <c r="D5" s="16" t="s">
        <v>97</v>
      </c>
      <c r="E5" s="17" t="s">
        <v>98</v>
      </c>
      <c r="F5" s="17" t="s">
        <v>99</v>
      </c>
      <c r="G5" s="17" t="s">
        <v>78</v>
      </c>
      <c r="H5" s="17" t="s">
        <v>79</v>
      </c>
      <c r="I5" s="17" t="s">
        <v>100</v>
      </c>
      <c r="J5" s="17" t="s">
        <v>80</v>
      </c>
      <c r="K5" s="17" t="s">
        <v>83</v>
      </c>
      <c r="L5" s="18" t="s">
        <v>101</v>
      </c>
      <c r="M5" s="18" t="s">
        <v>102</v>
      </c>
      <c r="N5" s="18" t="s">
        <v>103</v>
      </c>
      <c r="O5" s="18" t="s">
        <v>104</v>
      </c>
      <c r="P5" s="17" t="s">
        <v>105</v>
      </c>
    </row>
    <row r="6" customFormat="false" ht="15" hidden="false" customHeight="false" outlineLevel="0" collapsed="false">
      <c r="A6" s="19" t="n">
        <v>1</v>
      </c>
      <c r="B6" s="19" t="s">
        <v>106</v>
      </c>
      <c r="C6" s="19" t="s">
        <v>107</v>
      </c>
      <c r="D6" s="20" t="n">
        <v>120</v>
      </c>
      <c r="E6" s="10" t="str">
        <f aca="false">IF($B6="","",IF(F6="Others",IFERROR(INDEX(Other_Register!$S$5:$S$304,MATCH($B6,Other_Register!$A$5:$A$304,0)),""),IF(F6="",  "","m")))</f>
        <v>m</v>
      </c>
      <c r="F6" s="10" t="str">
        <f aca="false">IF($B6="","",IF(ISNUMBER(MATCH($B6,Drain_Register!$A$5:$A$304,0)),"Drain",IF(ISNUMBER(MATCH($B6,RW_Register!$A$5:$A$304,0)),"Ret. Wall",IF(ISNUMBER(MATCH($B6,Other_Register!$A$5:$A$304,0)),"Others",""))))</f>
        <v>Drain</v>
      </c>
      <c r="G6" s="10" t="str">
        <f aca="false">IF($B6="","",IFERROR(INDEX(Drain_Register!$B$5:$B$304,MATCH($B6,Drain_Register!$A$5:$A$304,0)),IFERROR(INDEX(RW_Register!$B$5:$B$304,MATCH($B6,RW_Register!$A$5:$A$304,0)),IFERROR(INDEX(Other_Register!$B$5:$B$304,MATCH($B6,Other_Register!$A$5:$A$304,0)),"ID not found - check spelling"))))</f>
        <v>U-Drain 600W x 900D, Vehicular (LM1), Cast-in-situ</v>
      </c>
      <c r="H6" s="10" t="str">
        <f aca="false">IF($B6="","",IFERROR(INDEX(Drain_Register!$R$5:$R$304,MATCH($B6,Drain_Register!$A$5:$A$304,0)),IFERROR(INDEX(RW_Register!$X$5:$X$304,MATCH($B6,RW_Register!$A$5:$A$304,0)),IFERROR(INDEX(Other_Register!$M$5:$M$304,MATCH($B6,Other_Register!$A$5:$A$304,0)),""))))</f>
        <v>B</v>
      </c>
      <c r="I6" s="10" t="str">
        <f aca="false">IF($B6="","",IFERROR(INDEX(Drain_Register!$S$5:$S$304,MATCH($B6,Drain_Register!$A$5:$A$304,0)),IFERROR(INDEX(RW_Register!$Y$5:$Y$304,MATCH($B6,RW_Register!$A$5:$A$304,0)),IFERROR(INDEX(Other_Register!$N$5:$N$304,MATCH($B6,Other_Register!$A$5:$A$304,0)),""))))</f>
        <v>Approved</v>
      </c>
      <c r="J6" s="10" t="str">
        <f aca="false">IF($B6="","",IFERROR(INDEX(Drain_Register!$T$5:$T$304,MATCH($B6,Drain_Register!$A$5:$A$304,0)),IFERROR(INDEX(RW_Register!$Z$5:$Z$304,MATCH($B6,RW_Register!$A$5:$A$304,0)),IFERROR(INDEX(Other_Register!$O$5:$O$304,MATCH($B6,Other_Register!$A$5:$A$304,0)),""))))</f>
        <v>STD-DRN-003</v>
      </c>
      <c r="K6" s="10" t="str">
        <f aca="false">IF($B6="","",IFERROR(INDEX(Drain_Register!$U$5:$U$304,MATCH($B6,Drain_Register!$A$5:$A$304,0)),IFERROR(INDEX(RW_Register!$AA$5:$AA$304,MATCH($B6,RW_Register!$A$5:$A$304,0)),IFERROR(INDEX(Other_Register!$P$5:$P$304,MATCH($B6,Other_Register!$A$5:$A$304,0)),""))))</f>
        <v>Drainage/DRN-UD-0600x0900-VEH-B.dwg</v>
      </c>
      <c r="L6" s="21" t="n">
        <f aca="false">IF(OR($B6="",$D6=""),"",$D6*IFERROR(INDEX(Drain_Register!$X$5:$X$304,MATCH($B6,Drain_Register!$A$5:$A$304,0)),IFERROR(INDEX(RW_Register!$AD$5:$AD$304,MATCH($B6,RW_Register!$A$5:$A$304,0)),IFERROR(INDEX(Other_Register!$T$5:$T$304,MATCH($B6,Other_Register!$A$5:$A$304,0)),0))))</f>
        <v>48.6</v>
      </c>
      <c r="M6" s="22" t="n">
        <f aca="false">IF(OR($B6="",$D6=""),"",$D6*IFERROR(INDEX(Drain_Register!$Y$5:$Y$304,MATCH($B6,Drain_Register!$A$5:$A$304,0)),IFERROR(INDEX(RW_Register!$AE$5:$AE$304,MATCH($B6,RW_Register!$A$5:$A$304,0)),IFERROR(INDEX(Other_Register!$U$5:$U$304,MATCH($B6,Other_Register!$A$5:$A$304,0)),0)))/1000)</f>
        <v>5.76</v>
      </c>
      <c r="N6" s="21" t="n">
        <f aca="false">IF(OR($B6="",$D6=""),"",$D6*IFERROR(INDEX(Drain_Register!$Z$5:$Z$304,MATCH($B6,Drain_Register!$A$5:$A$304,0)),IFERROR(INDEX(RW_Register!$AF$5:$AF$304,MATCH($B6,RW_Register!$A$5:$A$304,0)),IFERROR(INDEX(Other_Register!$V$5:$V$304,MATCH($B6,Other_Register!$A$5:$A$304,0)),0))))</f>
        <v>450</v>
      </c>
      <c r="O6" s="21" t="n">
        <f aca="false">IF(OR($B6="",$D6=""),"",$D6*IFERROR(INDEX(Drain_Register!$AA$5:$AA$304,MATCH($B6,Drain_Register!$A$5:$A$304,0)),IFERROR(INDEX(RW_Register!$AG$5:$AG$304,MATCH($B6,RW_Register!$A$5:$A$304,0)),IFERROR(INDEX(Other_Register!$W$5:$W$304,MATCH($B6,Other_Register!$A$5:$A$304,0)),0))))</f>
        <v>252</v>
      </c>
      <c r="P6" s="10" t="str">
        <f aca="false">IF($B6="","",IF(F6="","ID not found",IF(I6&lt;&gt;"Approved","WARNING: status is "&amp;I6,IF(D6="","Enter length / qty","OK"))))</f>
        <v>OK</v>
      </c>
    </row>
    <row r="7" customFormat="false" ht="15" hidden="false" customHeight="false" outlineLevel="0" collapsed="false">
      <c r="A7" s="19" t="n">
        <v>2</v>
      </c>
      <c r="B7" s="19" t="s">
        <v>108</v>
      </c>
      <c r="C7" s="19" t="s">
        <v>109</v>
      </c>
      <c r="D7" s="20" t="n">
        <v>85</v>
      </c>
      <c r="E7" s="10" t="str">
        <f aca="false">IF($B7="","",IF(F7="Others",IFERROR(INDEX(Other_Register!$S$5:$S$304,MATCH($B7,Other_Register!$A$5:$A$304,0)),""),IF(F7="",  "","m")))</f>
        <v>m</v>
      </c>
      <c r="F7" s="10" t="str">
        <f aca="false">IF($B7="","",IF(ISNUMBER(MATCH($B7,Drain_Register!$A$5:$A$304,0)),"Drain",IF(ISNUMBER(MATCH($B7,RW_Register!$A$5:$A$304,0)),"Ret. Wall",IF(ISNUMBER(MATCH($B7,Other_Register!$A$5:$A$304,0)),"Others",""))))</f>
        <v>Drain</v>
      </c>
      <c r="G7" s="10" t="str">
        <f aca="false">IF($B7="","",IFERROR(INDEX(Drain_Register!$B$5:$B$304,MATCH($B7,Drain_Register!$A$5:$A$304,0)),IFERROR(INDEX(RW_Register!$B$5:$B$304,MATCH($B7,RW_Register!$A$5:$A$304,0)),IFERROR(INDEX(Other_Register!$B$5:$B$304,MATCH($B7,Other_Register!$A$5:$A$304,0)),"ID not found - check spelling"))))</f>
        <v>U-Drain 300W x 450D, Pedestrian, Cast-in-situ</v>
      </c>
      <c r="H7" s="10" t="str">
        <f aca="false">IF($B7="","",IFERROR(INDEX(Drain_Register!$R$5:$R$304,MATCH($B7,Drain_Register!$A$5:$A$304,0)),IFERROR(INDEX(RW_Register!$X$5:$X$304,MATCH($B7,RW_Register!$A$5:$A$304,0)),IFERROR(INDEX(Other_Register!$M$5:$M$304,MATCH($B7,Other_Register!$A$5:$A$304,0)),""))))</f>
        <v>A</v>
      </c>
      <c r="I7" s="10" t="str">
        <f aca="false">IF($B7="","",IFERROR(INDEX(Drain_Register!$S$5:$S$304,MATCH($B7,Drain_Register!$A$5:$A$304,0)),IFERROR(INDEX(RW_Register!$Y$5:$Y$304,MATCH($B7,RW_Register!$A$5:$A$304,0)),IFERROR(INDEX(Other_Register!$N$5:$N$304,MATCH($B7,Other_Register!$A$5:$A$304,0)),""))))</f>
        <v>Approved</v>
      </c>
      <c r="J7" s="10" t="str">
        <f aca="false">IF($B7="","",IFERROR(INDEX(Drain_Register!$T$5:$T$304,MATCH($B7,Drain_Register!$A$5:$A$304,0)),IFERROR(INDEX(RW_Register!$Z$5:$Z$304,MATCH($B7,RW_Register!$A$5:$A$304,0)),IFERROR(INDEX(Other_Register!$O$5:$O$304,MATCH($B7,Other_Register!$A$5:$A$304,0)),""))))</f>
        <v>STD-DRN-001</v>
      </c>
      <c r="K7" s="10" t="str">
        <f aca="false">IF($B7="","",IFERROR(INDEX(Drain_Register!$U$5:$U$304,MATCH($B7,Drain_Register!$A$5:$A$304,0)),IFERROR(INDEX(RW_Register!$AA$5:$AA$304,MATCH($B7,RW_Register!$A$5:$A$304,0)),IFERROR(INDEX(Other_Register!$P$5:$P$304,MATCH($B7,Other_Register!$A$5:$A$304,0)),""))))</f>
        <v>Drainage/DRN-UD-0300x0450-PED-A.dwg</v>
      </c>
      <c r="L7" s="21" t="n">
        <f aca="false">IF(OR($B7="",$D7=""),"",$D7*IFERROR(INDEX(Drain_Register!$X$5:$X$304,MATCH($B7,Drain_Register!$A$5:$A$304,0)),IFERROR(INDEX(RW_Register!$AD$5:$AD$304,MATCH($B7,RW_Register!$A$5:$A$304,0)),IFERROR(INDEX(Other_Register!$T$5:$T$304,MATCH($B7,Other_Register!$A$5:$A$304,0)),0))))</f>
        <v>17</v>
      </c>
      <c r="M7" s="22" t="n">
        <f aca="false">IF(OR($B7="",$D7=""),"",$D7*IFERROR(INDEX(Drain_Register!$Y$5:$Y$304,MATCH($B7,Drain_Register!$A$5:$A$304,0)),IFERROR(INDEX(RW_Register!$AE$5:$AE$304,MATCH($B7,RW_Register!$A$5:$A$304,0)),IFERROR(INDEX(Other_Register!$U$5:$U$304,MATCH($B7,Other_Register!$A$5:$A$304,0)),0)))/1000)</f>
        <v>1.53</v>
      </c>
      <c r="N7" s="21" t="n">
        <f aca="false">IF(OR($B7="",$D7=""),"",$D7*IFERROR(INDEX(Drain_Register!$Z$5:$Z$304,MATCH($B7,Drain_Register!$A$5:$A$304,0)),IFERROR(INDEX(RW_Register!$AF$5:$AF$304,MATCH($B7,RW_Register!$A$5:$A$304,0)),IFERROR(INDEX(Other_Register!$V$5:$V$304,MATCH($B7,Other_Register!$A$5:$A$304,0)),0))))</f>
        <v>187</v>
      </c>
      <c r="O7" s="21" t="n">
        <f aca="false">IF(OR($B7="",$D7=""),"",$D7*IFERROR(INDEX(Drain_Register!$AA$5:$AA$304,MATCH($B7,Drain_Register!$A$5:$A$304,0)),IFERROR(INDEX(RW_Register!$AG$5:$AG$304,MATCH($B7,RW_Register!$A$5:$A$304,0)),IFERROR(INDEX(Other_Register!$W$5:$W$304,MATCH($B7,Other_Register!$A$5:$A$304,0)),0))))</f>
        <v>80.75</v>
      </c>
      <c r="P7" s="10" t="str">
        <f aca="false">IF($B7="","",IF(F7="","ID not found",IF(I7&lt;&gt;"Approved","WARNING: status is "&amp;I7,IF(D7="","Enter length / qty","OK"))))</f>
        <v>OK</v>
      </c>
    </row>
    <row r="8" customFormat="false" ht="15" hidden="false" customHeight="false" outlineLevel="0" collapsed="false">
      <c r="A8" s="19" t="n">
        <v>3</v>
      </c>
      <c r="B8" s="19" t="s">
        <v>110</v>
      </c>
      <c r="C8" s="19" t="s">
        <v>111</v>
      </c>
      <c r="D8" s="20" t="n">
        <v>42</v>
      </c>
      <c r="E8" s="10" t="str">
        <f aca="false">IF($B8="","",IF(F8="Others",IFERROR(INDEX(Other_Register!$S$5:$S$304,MATCH($B8,Other_Register!$A$5:$A$304,0)),""),IF(F8="",  "","m")))</f>
        <v>m</v>
      </c>
      <c r="F8" s="10" t="str">
        <f aca="false">IF($B8="","",IF(ISNUMBER(MATCH($B8,Drain_Register!$A$5:$A$304,0)),"Drain",IF(ISNUMBER(MATCH($B8,RW_Register!$A$5:$A$304,0)),"Ret. Wall",IF(ISNUMBER(MATCH($B8,Other_Register!$A$5:$A$304,0)),"Others",""))))</f>
        <v>Ret. Wall</v>
      </c>
      <c r="G8" s="10" t="str">
        <f aca="false">IF($B8="","",IFERROR(INDEX(Drain_Register!$B$5:$B$304,MATCH($B8,Drain_Register!$A$5:$A$304,0)),IFERROR(INDEX(RW_Register!$B$5:$B$304,MATCH($B8,RW_Register!$A$5:$A$304,0)),IFERROR(INDEX(Other_Register!$B$5:$B$304,MATCH($B8,Other_Register!$A$5:$A$304,0)),"ID not found - check spelling"))))</f>
        <v>Cantilever RC, H = 3.0 m, q = 10 kPa</v>
      </c>
      <c r="H8" s="10" t="str">
        <f aca="false">IF($B8="","",IFERROR(INDEX(Drain_Register!$R$5:$R$304,MATCH($B8,Drain_Register!$A$5:$A$304,0)),IFERROR(INDEX(RW_Register!$X$5:$X$304,MATCH($B8,RW_Register!$A$5:$A$304,0)),IFERROR(INDEX(Other_Register!$M$5:$M$304,MATCH($B8,Other_Register!$A$5:$A$304,0)),""))))</f>
        <v>A</v>
      </c>
      <c r="I8" s="10" t="str">
        <f aca="false">IF($B8="","",IFERROR(INDEX(Drain_Register!$S$5:$S$304,MATCH($B8,Drain_Register!$A$5:$A$304,0)),IFERROR(INDEX(RW_Register!$Y$5:$Y$304,MATCH($B8,RW_Register!$A$5:$A$304,0)),IFERROR(INDEX(Other_Register!$N$5:$N$304,MATCH($B8,Other_Register!$A$5:$A$304,0)),""))))</f>
        <v>Approved</v>
      </c>
      <c r="J8" s="10" t="str">
        <f aca="false">IF($B8="","",IFERROR(INDEX(Drain_Register!$T$5:$T$304,MATCH($B8,Drain_Register!$A$5:$A$304,0)),IFERROR(INDEX(RW_Register!$Z$5:$Z$304,MATCH($B8,RW_Register!$A$5:$A$304,0)),IFERROR(INDEX(Other_Register!$O$5:$O$304,MATCH($B8,Other_Register!$A$5:$A$304,0)),""))))</f>
        <v>STD-RW-005</v>
      </c>
      <c r="K8" s="10" t="str">
        <f aca="false">IF($B8="","",IFERROR(INDEX(Drain_Register!$U$5:$U$304,MATCH($B8,Drain_Register!$A$5:$A$304,0)),IFERROR(INDEX(RW_Register!$AA$5:$AA$304,MATCH($B8,RW_Register!$A$5:$A$304,0)),IFERROR(INDEX(Other_Register!$P$5:$P$304,MATCH($B8,Other_Register!$A$5:$A$304,0)),""))))</f>
        <v>RetainingWall/RW-CANT-H3000-S10-A.dwg</v>
      </c>
      <c r="L8" s="21" t="n">
        <f aca="false">IF(OR($B8="",$D8=""),"",$D8*IFERROR(INDEX(Drain_Register!$X$5:$X$304,MATCH($B8,Drain_Register!$A$5:$A$304,0)),IFERROR(INDEX(RW_Register!$AD$5:$AD$304,MATCH($B8,RW_Register!$A$5:$A$304,0)),IFERROR(INDEX(Other_Register!$T$5:$T$304,MATCH($B8,Other_Register!$A$5:$A$304,0)),0))))</f>
        <v>87.36</v>
      </c>
      <c r="M8" s="22" t="n">
        <f aca="false">IF(OR($B8="",$D8=""),"",$D8*IFERROR(INDEX(Drain_Register!$Y$5:$Y$304,MATCH($B8,Drain_Register!$A$5:$A$304,0)),IFERROR(INDEX(RW_Register!$AE$5:$AE$304,MATCH($B8,RW_Register!$A$5:$A$304,0)),IFERROR(INDEX(Other_Register!$U$5:$U$304,MATCH($B8,Other_Register!$A$5:$A$304,0)),0)))/1000)</f>
        <v>6.72</v>
      </c>
      <c r="N8" s="21" t="n">
        <f aca="false">IF(OR($B8="",$D8=""),"",$D8*IFERROR(INDEX(Drain_Register!$Z$5:$Z$304,MATCH($B8,Drain_Register!$A$5:$A$304,0)),IFERROR(INDEX(RW_Register!$AF$5:$AF$304,MATCH($B8,RW_Register!$A$5:$A$304,0)),IFERROR(INDEX(Other_Register!$V$5:$V$304,MATCH($B8,Other_Register!$A$5:$A$304,0)),0))))</f>
        <v>289.8</v>
      </c>
      <c r="O8" s="21" t="n">
        <f aca="false">IF(OR($B8="",$D8=""),"",$D8*IFERROR(INDEX(Drain_Register!$AA$5:$AA$304,MATCH($B8,Drain_Register!$A$5:$A$304,0)),IFERROR(INDEX(RW_Register!$AG$5:$AG$304,MATCH($B8,RW_Register!$A$5:$A$304,0)),IFERROR(INDEX(Other_Register!$W$5:$W$304,MATCH($B8,Other_Register!$A$5:$A$304,0)),0))))</f>
        <v>226.8</v>
      </c>
      <c r="P8" s="10" t="str">
        <f aca="false">IF($B8="","",IF(F8="","ID not found",IF(I8&lt;&gt;"Approved","WARNING: status is "&amp;I8,IF(D8="","Enter length / qty","OK"))))</f>
        <v>OK</v>
      </c>
    </row>
    <row r="9" customFormat="false" ht="15" hidden="false" customHeight="false" outlineLevel="0" collapsed="false">
      <c r="A9" s="19" t="n">
        <v>4</v>
      </c>
      <c r="B9" s="19" t="s">
        <v>112</v>
      </c>
      <c r="C9" s="19" t="s">
        <v>113</v>
      </c>
      <c r="D9" s="20" t="n">
        <v>8</v>
      </c>
      <c r="E9" s="10" t="str">
        <f aca="false">IF($B9="","",IF(F9="Others",IFERROR(INDEX(Other_Register!$S$5:$S$304,MATCH($B9,Other_Register!$A$5:$A$304,0)),""),IF(F9="",  "","m")))</f>
        <v>span</v>
      </c>
      <c r="F9" s="10" t="str">
        <f aca="false">IF($B9="","",IF(ISNUMBER(MATCH($B9,Drain_Register!$A$5:$A$304,0)),"Drain",IF(ISNUMBER(MATCH($B9,RW_Register!$A$5:$A$304,0)),"Ret. Wall",IF(ISNUMBER(MATCH($B9,Other_Register!$A$5:$A$304,0)),"Others",""))))</f>
        <v>Others</v>
      </c>
      <c r="G9" s="10" t="str">
        <f aca="false">IF($B9="","",IFERROR(INDEX(Drain_Register!$B$5:$B$304,MATCH($B9,Drain_Register!$A$5:$A$304,0)),IFERROR(INDEX(RW_Register!$B$5:$B$304,MATCH($B9,RW_Register!$A$5:$A$304,0)),IFERROR(INDEX(Other_Register!$B$5:$B$304,MATCH($B9,Other_Register!$A$5:$A$304,0)),"ID not found - check spelling"))))</f>
        <v>LTA Linkway - Single Span, span 6 m, H 3 m, W 2.4 m</v>
      </c>
      <c r="H9" s="10" t="str">
        <f aca="false">IF($B9="","",IFERROR(INDEX(Drain_Register!$R$5:$R$304,MATCH($B9,Drain_Register!$A$5:$A$304,0)),IFERROR(INDEX(RW_Register!$X$5:$X$304,MATCH($B9,RW_Register!$A$5:$A$304,0)),IFERROR(INDEX(Other_Register!$M$5:$M$304,MATCH($B9,Other_Register!$A$5:$A$304,0)),""))))</f>
        <v>A</v>
      </c>
      <c r="I9" s="10" t="str">
        <f aca="false">IF($B9="","",IFERROR(INDEX(Drain_Register!$S$5:$S$304,MATCH($B9,Drain_Register!$A$5:$A$304,0)),IFERROR(INDEX(RW_Register!$Y$5:$Y$304,MATCH($B9,RW_Register!$A$5:$A$304,0)),IFERROR(INDEX(Other_Register!$N$5:$N$304,MATCH($B9,Other_Register!$A$5:$A$304,0)),""))))</f>
        <v>Approved</v>
      </c>
      <c r="J9" s="10" t="str">
        <f aca="false">IF($B9="","",IFERROR(INDEX(Drain_Register!$T$5:$T$304,MATCH($B9,Drain_Register!$A$5:$A$304,0)),IFERROR(INDEX(RW_Register!$Z$5:$Z$304,MATCH($B9,RW_Register!$A$5:$A$304,0)),IFERROR(INDEX(Other_Register!$O$5:$O$304,MATCH($B9,Other_Register!$A$5:$A$304,0)),""))))</f>
        <v>STD-LKW-001</v>
      </c>
      <c r="K9" s="10" t="str">
        <f aca="false">IF($B9="","",IFERROR(INDEX(Drain_Register!$U$5:$U$304,MATCH($B9,Drain_Register!$A$5:$A$304,0)),IFERROR(INDEX(RW_Register!$AA$5:$AA$304,MATCH($B9,RW_Register!$A$5:$A$304,0)),IFERROR(INDEX(Other_Register!$P$5:$P$304,MATCH($B9,Other_Register!$A$5:$A$304,0)),""))))</f>
        <v>Others/LKW-SINGLESPAN-SP6000-H3000-A.dwg</v>
      </c>
      <c r="L9" s="21" t="n">
        <f aca="false">IF(OR($B9="",$D9=""),"",$D9*IFERROR(INDEX(Drain_Register!$X$5:$X$304,MATCH($B9,Drain_Register!$A$5:$A$304,0)),IFERROR(INDEX(RW_Register!$AD$5:$AD$304,MATCH($B9,RW_Register!$A$5:$A$304,0)),IFERROR(INDEX(Other_Register!$T$5:$T$304,MATCH($B9,Other_Register!$A$5:$A$304,0)),0))))</f>
        <v>9.6</v>
      </c>
      <c r="M9" s="22" t="n">
        <f aca="false">IF(OR($B9="",$D9=""),"",$D9*IFERROR(INDEX(Drain_Register!$Y$5:$Y$304,MATCH($B9,Drain_Register!$A$5:$A$304,0)),IFERROR(INDEX(RW_Register!$AE$5:$AE$304,MATCH($B9,RW_Register!$A$5:$A$304,0)),IFERROR(INDEX(Other_Register!$U$5:$U$304,MATCH($B9,Other_Register!$A$5:$A$304,0)),0)))/1000)</f>
        <v>7.6</v>
      </c>
      <c r="N9" s="21" t="n">
        <f aca="false">IF(OR($B9="",$D9=""),"",$D9*IFERROR(INDEX(Drain_Register!$Z$5:$Z$304,MATCH($B9,Drain_Register!$A$5:$A$304,0)),IFERROR(INDEX(RW_Register!$AF$5:$AF$304,MATCH($B9,RW_Register!$A$5:$A$304,0)),IFERROR(INDEX(Other_Register!$V$5:$V$304,MATCH($B9,Other_Register!$A$5:$A$304,0)),0))))</f>
        <v>38.4</v>
      </c>
      <c r="O9" s="21" t="n">
        <f aca="false">IF(OR($B9="",$D9=""),"",$D9*IFERROR(INDEX(Drain_Register!$AA$5:$AA$304,MATCH($B9,Drain_Register!$A$5:$A$304,0)),IFERROR(INDEX(RW_Register!$AG$5:$AG$304,MATCH($B9,RW_Register!$A$5:$A$304,0)),IFERROR(INDEX(Other_Register!$W$5:$W$304,MATCH($B9,Other_Register!$A$5:$A$304,0)),0))))</f>
        <v>20</v>
      </c>
      <c r="P9" s="10" t="str">
        <f aca="false">IF($B9="","",IF(F9="","ID not found",IF(I9&lt;&gt;"Approved","WARNING: status is "&amp;I9,IF(D9="","Enter length / qty","OK"))))</f>
        <v>OK</v>
      </c>
    </row>
    <row r="10" customFormat="false" ht="15" hidden="false" customHeight="false" outlineLevel="0" collapsed="false">
      <c r="A10" s="19" t="n">
        <v>5</v>
      </c>
      <c r="B10" s="19" t="s">
        <v>114</v>
      </c>
      <c r="C10" s="19" t="s">
        <v>115</v>
      </c>
      <c r="D10" s="20" t="n">
        <v>12</v>
      </c>
      <c r="E10" s="10" t="str">
        <f aca="false">IF($B10="","",IF(F10="Others",IFERROR(INDEX(Other_Register!$S$5:$S$304,MATCH($B10,Other_Register!$A$5:$A$304,0)),""),IF(F10="",  "","m")))</f>
        <v>m</v>
      </c>
      <c r="F10" s="10" t="str">
        <f aca="false">IF($B10="","",IF(ISNUMBER(MATCH($B10,Drain_Register!$A$5:$A$304,0)),"Drain",IF(ISNUMBER(MATCH($B10,RW_Register!$A$5:$A$304,0)),"Ret. Wall",IF(ISNUMBER(MATCH($B10,Other_Register!$A$5:$A$304,0)),"Others",""))))</f>
        <v>Drain</v>
      </c>
      <c r="G10" s="10" t="str">
        <f aca="false">IF($B10="","",IFERROR(INDEX(Drain_Register!$B$5:$B$304,MATCH($B10,Drain_Register!$A$5:$A$304,0)),IFERROR(INDEX(RW_Register!$B$5:$B$304,MATCH($B10,RW_Register!$A$5:$A$304,0)),IFERROR(INDEX(Other_Register!$B$5:$B$304,MATCH($B10,Other_Register!$A$5:$A$304,0)),"ID not found - check spelling"))))</f>
        <v>U-Drain 1200W x 1500D, Heavy Vehicle / Fire Engine, Cast-in-situ</v>
      </c>
      <c r="H10" s="10" t="str">
        <f aca="false">IF($B10="","",IFERROR(INDEX(Drain_Register!$R$5:$R$304,MATCH($B10,Drain_Register!$A$5:$A$304,0)),IFERROR(INDEX(RW_Register!$X$5:$X$304,MATCH($B10,RW_Register!$A$5:$A$304,0)),IFERROR(INDEX(Other_Register!$M$5:$M$304,MATCH($B10,Other_Register!$A$5:$A$304,0)),""))))</f>
        <v>A</v>
      </c>
      <c r="I10" s="10" t="str">
        <f aca="false">IF($B10="","",IFERROR(INDEX(Drain_Register!$S$5:$S$304,MATCH($B10,Drain_Register!$A$5:$A$304,0)),IFERROR(INDEX(RW_Register!$Y$5:$Y$304,MATCH($B10,RW_Register!$A$5:$A$304,0)),IFERROR(INDEX(Other_Register!$N$5:$N$304,MATCH($B10,Other_Register!$A$5:$A$304,0)),""))))</f>
        <v>Checked</v>
      </c>
      <c r="J10" s="10" t="str">
        <f aca="false">IF($B10="","",IFERROR(INDEX(Drain_Register!$T$5:$T$304,MATCH($B10,Drain_Register!$A$5:$A$304,0)),IFERROR(INDEX(RW_Register!$Z$5:$Z$304,MATCH($B10,RW_Register!$A$5:$A$304,0)),IFERROR(INDEX(Other_Register!$O$5:$O$304,MATCH($B10,Other_Register!$A$5:$A$304,0)),""))))</f>
        <v>STD-DRN-005</v>
      </c>
      <c r="K10" s="10" t="str">
        <f aca="false">IF($B10="","",IFERROR(INDEX(Drain_Register!$U$5:$U$304,MATCH($B10,Drain_Register!$A$5:$A$304,0)),IFERROR(INDEX(RW_Register!$AA$5:$AA$304,MATCH($B10,RW_Register!$A$5:$A$304,0)),IFERROR(INDEX(Other_Register!$P$5:$P$304,MATCH($B10,Other_Register!$A$5:$A$304,0)),""))))</f>
        <v>Drainage/DRN-UD-1200x1500-HVY-A.dwg</v>
      </c>
      <c r="L10" s="21" t="n">
        <f aca="false">IF(OR($B10="",$D10=""),"",$D10*IFERROR(INDEX(Drain_Register!$X$5:$X$304,MATCH($B10,Drain_Register!$A$5:$A$304,0)),IFERROR(INDEX(RW_Register!$AD$5:$AD$304,MATCH($B10,RW_Register!$A$5:$A$304,0)),IFERROR(INDEX(Other_Register!$T$5:$T$304,MATCH($B10,Other_Register!$A$5:$A$304,0)),0))))</f>
        <v>17.7</v>
      </c>
      <c r="M10" s="22" t="n">
        <f aca="false">IF(OR($B10="",$D10=""),"",$D10*IFERROR(INDEX(Drain_Register!$Y$5:$Y$304,MATCH($B10,Drain_Register!$A$5:$A$304,0)),IFERROR(INDEX(RW_Register!$AE$5:$AE$304,MATCH($B10,RW_Register!$A$5:$A$304,0)),IFERROR(INDEX(Other_Register!$U$5:$U$304,MATCH($B10,Other_Register!$A$5:$A$304,0)),0)))/1000)</f>
        <v>1.98</v>
      </c>
      <c r="N10" s="21" t="n">
        <f aca="false">IF(OR($B10="",$D10=""),"",$D10*IFERROR(INDEX(Drain_Register!$Z$5:$Z$304,MATCH($B10,Drain_Register!$A$5:$A$304,0)),IFERROR(INDEX(RW_Register!$AF$5:$AF$304,MATCH($B10,RW_Register!$A$5:$A$304,0)),IFERROR(INDEX(Other_Register!$V$5:$V$304,MATCH($B10,Other_Register!$A$5:$A$304,0)),0))))</f>
        <v>78</v>
      </c>
      <c r="O10" s="21" t="n">
        <f aca="false">IF(OR($B10="",$D10=""),"",$D10*IFERROR(INDEX(Drain_Register!$AA$5:$AA$304,MATCH($B10,Drain_Register!$A$5:$A$304,0)),IFERROR(INDEX(RW_Register!$AG$5:$AG$304,MATCH($B10,RW_Register!$A$5:$A$304,0)),IFERROR(INDEX(Other_Register!$W$5:$W$304,MATCH($B10,Other_Register!$A$5:$A$304,0)),0))))</f>
        <v>61.2</v>
      </c>
      <c r="P10" s="10" t="str">
        <f aca="false">IF($B10="","",IF(F10="","ID not found",IF(I10&lt;&gt;"Approved","WARNING: status is "&amp;I10,IF(D10="","Enter length / qty","OK"))))</f>
        <v>WARNING: status is Checked</v>
      </c>
    </row>
    <row r="11" customFormat="false" ht="15" hidden="false" customHeight="false" outlineLevel="0" collapsed="false">
      <c r="A11" s="9"/>
      <c r="B11" s="9"/>
      <c r="C11" s="9"/>
      <c r="D11" s="23"/>
      <c r="E11" s="10" t="str">
        <f aca="false">IF($B11="","",IF(F11="Others",IFERROR(INDEX(Other_Register!$S$5:$S$304,MATCH($B11,Other_Register!$A$5:$A$304,0)),""),IF(F11="",  "","m")))</f>
        <v/>
      </c>
      <c r="F11" s="10" t="str">
        <f aca="false">IF($B11="","",IF(ISNUMBER(MATCH($B11,Drain_Register!$A$5:$A$304,0)),"Drain",IF(ISNUMBER(MATCH($B11,RW_Register!$A$5:$A$304,0)),"Ret. Wall",IF(ISNUMBER(MATCH($B11,Other_Register!$A$5:$A$304,0)),"Others",""))))</f>
        <v/>
      </c>
      <c r="G11" s="10" t="str">
        <f aca="false">IF($B11="","",IFERROR(INDEX(Drain_Register!$B$5:$B$304,MATCH($B11,Drain_Register!$A$5:$A$304,0)),IFERROR(INDEX(RW_Register!$B$5:$B$304,MATCH($B11,RW_Register!$A$5:$A$304,0)),IFERROR(INDEX(Other_Register!$B$5:$B$304,MATCH($B11,Other_Register!$A$5:$A$304,0)),"ID not found - check spelling"))))</f>
        <v/>
      </c>
      <c r="H11" s="10" t="str">
        <f aca="false">IF($B11="","",IFERROR(INDEX(Drain_Register!$R$5:$R$304,MATCH($B11,Drain_Register!$A$5:$A$304,0)),IFERROR(INDEX(RW_Register!$X$5:$X$304,MATCH($B11,RW_Register!$A$5:$A$304,0)),IFERROR(INDEX(Other_Register!$M$5:$M$304,MATCH($B11,Other_Register!$A$5:$A$304,0)),""))))</f>
        <v/>
      </c>
      <c r="I11" s="10" t="str">
        <f aca="false">IF($B11="","",IFERROR(INDEX(Drain_Register!$S$5:$S$304,MATCH($B11,Drain_Register!$A$5:$A$304,0)),IFERROR(INDEX(RW_Register!$Y$5:$Y$304,MATCH($B11,RW_Register!$A$5:$A$304,0)),IFERROR(INDEX(Other_Register!$N$5:$N$304,MATCH($B11,Other_Register!$A$5:$A$304,0)),""))))</f>
        <v/>
      </c>
      <c r="J11" s="10" t="str">
        <f aca="false">IF($B11="","",IFERROR(INDEX(Drain_Register!$T$5:$T$304,MATCH($B11,Drain_Register!$A$5:$A$304,0)),IFERROR(INDEX(RW_Register!$Z$5:$Z$304,MATCH($B11,RW_Register!$A$5:$A$304,0)),IFERROR(INDEX(Other_Register!$O$5:$O$304,MATCH($B11,Other_Register!$A$5:$A$304,0)),""))))</f>
        <v/>
      </c>
      <c r="K11" s="10" t="str">
        <f aca="false">IF($B11="","",IFERROR(INDEX(Drain_Register!$U$5:$U$304,MATCH($B11,Drain_Register!$A$5:$A$304,0)),IFERROR(INDEX(RW_Register!$AA$5:$AA$304,MATCH($B11,RW_Register!$A$5:$A$304,0)),IFERROR(INDEX(Other_Register!$P$5:$P$304,MATCH($B11,Other_Register!$A$5:$A$304,0)),""))))</f>
        <v/>
      </c>
      <c r="L11" s="21" t="str">
        <f aca="false">IF(OR($B11="",$D11=""),"",$D11*IFERROR(INDEX(Drain_Register!$X$5:$X$304,MATCH($B11,Drain_Register!$A$5:$A$304,0)),IFERROR(INDEX(RW_Register!$AD$5:$AD$304,MATCH($B11,RW_Register!$A$5:$A$304,0)),IFERROR(INDEX(Other_Register!$T$5:$T$304,MATCH($B11,Other_Register!$A$5:$A$304,0)),0))))</f>
        <v/>
      </c>
      <c r="M11" s="22" t="str">
        <f aca="false">IF(OR($B11="",$D11=""),"",$D11*IFERROR(INDEX(Drain_Register!$Y$5:$Y$304,MATCH($B11,Drain_Register!$A$5:$A$304,0)),IFERROR(INDEX(RW_Register!$AE$5:$AE$304,MATCH($B11,RW_Register!$A$5:$A$304,0)),IFERROR(INDEX(Other_Register!$U$5:$U$304,MATCH($B11,Other_Register!$A$5:$A$304,0)),0)))/1000)</f>
        <v/>
      </c>
      <c r="N11" s="21" t="str">
        <f aca="false">IF(OR($B11="",$D11=""),"",$D11*IFERROR(INDEX(Drain_Register!$Z$5:$Z$304,MATCH($B11,Drain_Register!$A$5:$A$304,0)),IFERROR(INDEX(RW_Register!$AF$5:$AF$304,MATCH($B11,RW_Register!$A$5:$A$304,0)),IFERROR(INDEX(Other_Register!$V$5:$V$304,MATCH($B11,Other_Register!$A$5:$A$304,0)),0))))</f>
        <v/>
      </c>
      <c r="O11" s="21" t="str">
        <f aca="false">IF(OR($B11="",$D11=""),"",$D11*IFERROR(INDEX(Drain_Register!$AA$5:$AA$304,MATCH($B11,Drain_Register!$A$5:$A$304,0)),IFERROR(INDEX(RW_Register!$AG$5:$AG$304,MATCH($B11,RW_Register!$A$5:$A$304,0)),IFERROR(INDEX(Other_Register!$W$5:$W$304,MATCH($B11,Other_Register!$A$5:$A$304,0)),0))))</f>
        <v/>
      </c>
      <c r="P11" s="10" t="str">
        <f aca="false">IF($B11="","",IF(F11="","ID not found",IF(I11&lt;&gt;"Approved","WARNING: status is "&amp;I11,IF(D11="","Enter length / qty","OK"))))</f>
        <v/>
      </c>
    </row>
    <row r="12" customFormat="false" ht="15" hidden="false" customHeight="false" outlineLevel="0" collapsed="false">
      <c r="A12" s="9"/>
      <c r="B12" s="9"/>
      <c r="C12" s="9"/>
      <c r="D12" s="23"/>
      <c r="E12" s="10" t="str">
        <f aca="false">IF($B12="","",IF(F12="Others",IFERROR(INDEX(Other_Register!$S$5:$S$304,MATCH($B12,Other_Register!$A$5:$A$304,0)),""),IF(F12="",  "","m")))</f>
        <v/>
      </c>
      <c r="F12" s="10" t="str">
        <f aca="false">IF($B12="","",IF(ISNUMBER(MATCH($B12,Drain_Register!$A$5:$A$304,0)),"Drain",IF(ISNUMBER(MATCH($B12,RW_Register!$A$5:$A$304,0)),"Ret. Wall",IF(ISNUMBER(MATCH($B12,Other_Register!$A$5:$A$304,0)),"Others",""))))</f>
        <v/>
      </c>
      <c r="G12" s="10" t="str">
        <f aca="false">IF($B12="","",IFERROR(INDEX(Drain_Register!$B$5:$B$304,MATCH($B12,Drain_Register!$A$5:$A$304,0)),IFERROR(INDEX(RW_Register!$B$5:$B$304,MATCH($B12,RW_Register!$A$5:$A$304,0)),IFERROR(INDEX(Other_Register!$B$5:$B$304,MATCH($B12,Other_Register!$A$5:$A$304,0)),"ID not found - check spelling"))))</f>
        <v/>
      </c>
      <c r="H12" s="10" t="str">
        <f aca="false">IF($B12="","",IFERROR(INDEX(Drain_Register!$R$5:$R$304,MATCH($B12,Drain_Register!$A$5:$A$304,0)),IFERROR(INDEX(RW_Register!$X$5:$X$304,MATCH($B12,RW_Register!$A$5:$A$304,0)),IFERROR(INDEX(Other_Register!$M$5:$M$304,MATCH($B12,Other_Register!$A$5:$A$304,0)),""))))</f>
        <v/>
      </c>
      <c r="I12" s="10" t="str">
        <f aca="false">IF($B12="","",IFERROR(INDEX(Drain_Register!$S$5:$S$304,MATCH($B12,Drain_Register!$A$5:$A$304,0)),IFERROR(INDEX(RW_Register!$Y$5:$Y$304,MATCH($B12,RW_Register!$A$5:$A$304,0)),IFERROR(INDEX(Other_Register!$N$5:$N$304,MATCH($B12,Other_Register!$A$5:$A$304,0)),""))))</f>
        <v/>
      </c>
      <c r="J12" s="10" t="str">
        <f aca="false">IF($B12="","",IFERROR(INDEX(Drain_Register!$T$5:$T$304,MATCH($B12,Drain_Register!$A$5:$A$304,0)),IFERROR(INDEX(RW_Register!$Z$5:$Z$304,MATCH($B12,RW_Register!$A$5:$A$304,0)),IFERROR(INDEX(Other_Register!$O$5:$O$304,MATCH($B12,Other_Register!$A$5:$A$304,0)),""))))</f>
        <v/>
      </c>
      <c r="K12" s="10" t="str">
        <f aca="false">IF($B12="","",IFERROR(INDEX(Drain_Register!$U$5:$U$304,MATCH($B12,Drain_Register!$A$5:$A$304,0)),IFERROR(INDEX(RW_Register!$AA$5:$AA$304,MATCH($B12,RW_Register!$A$5:$A$304,0)),IFERROR(INDEX(Other_Register!$P$5:$P$304,MATCH($B12,Other_Register!$A$5:$A$304,0)),""))))</f>
        <v/>
      </c>
      <c r="L12" s="21" t="str">
        <f aca="false">IF(OR($B12="",$D12=""),"",$D12*IFERROR(INDEX(Drain_Register!$X$5:$X$304,MATCH($B12,Drain_Register!$A$5:$A$304,0)),IFERROR(INDEX(RW_Register!$AD$5:$AD$304,MATCH($B12,RW_Register!$A$5:$A$304,0)),IFERROR(INDEX(Other_Register!$T$5:$T$304,MATCH($B12,Other_Register!$A$5:$A$304,0)),0))))</f>
        <v/>
      </c>
      <c r="M12" s="22" t="str">
        <f aca="false">IF(OR($B12="",$D12=""),"",$D12*IFERROR(INDEX(Drain_Register!$Y$5:$Y$304,MATCH($B12,Drain_Register!$A$5:$A$304,0)),IFERROR(INDEX(RW_Register!$AE$5:$AE$304,MATCH($B12,RW_Register!$A$5:$A$304,0)),IFERROR(INDEX(Other_Register!$U$5:$U$304,MATCH($B12,Other_Register!$A$5:$A$304,0)),0)))/1000)</f>
        <v/>
      </c>
      <c r="N12" s="21" t="str">
        <f aca="false">IF(OR($B12="",$D12=""),"",$D12*IFERROR(INDEX(Drain_Register!$Z$5:$Z$304,MATCH($B12,Drain_Register!$A$5:$A$304,0)),IFERROR(INDEX(RW_Register!$AF$5:$AF$304,MATCH($B12,RW_Register!$A$5:$A$304,0)),IFERROR(INDEX(Other_Register!$V$5:$V$304,MATCH($B12,Other_Register!$A$5:$A$304,0)),0))))</f>
        <v/>
      </c>
      <c r="O12" s="21" t="str">
        <f aca="false">IF(OR($B12="",$D12=""),"",$D12*IFERROR(INDEX(Drain_Register!$AA$5:$AA$304,MATCH($B12,Drain_Register!$A$5:$A$304,0)),IFERROR(INDEX(RW_Register!$AG$5:$AG$304,MATCH($B12,RW_Register!$A$5:$A$304,0)),IFERROR(INDEX(Other_Register!$W$5:$W$304,MATCH($B12,Other_Register!$A$5:$A$304,0)),0))))</f>
        <v/>
      </c>
      <c r="P12" s="10" t="str">
        <f aca="false">IF($B12="","",IF(F12="","ID not found",IF(I12&lt;&gt;"Approved","WARNING: status is "&amp;I12,IF(D12="","Enter length / qty","OK"))))</f>
        <v/>
      </c>
    </row>
    <row r="13" customFormat="false" ht="15" hidden="false" customHeight="false" outlineLevel="0" collapsed="false">
      <c r="A13" s="9"/>
      <c r="B13" s="9"/>
      <c r="C13" s="9"/>
      <c r="D13" s="23"/>
      <c r="E13" s="10" t="str">
        <f aca="false">IF($B13="","",IF(F13="Others",IFERROR(INDEX(Other_Register!$S$5:$S$304,MATCH($B13,Other_Register!$A$5:$A$304,0)),""),IF(F13="",  "","m")))</f>
        <v/>
      </c>
      <c r="F13" s="10" t="str">
        <f aca="false">IF($B13="","",IF(ISNUMBER(MATCH($B13,Drain_Register!$A$5:$A$304,0)),"Drain",IF(ISNUMBER(MATCH($B13,RW_Register!$A$5:$A$304,0)),"Ret. Wall",IF(ISNUMBER(MATCH($B13,Other_Register!$A$5:$A$304,0)),"Others",""))))</f>
        <v/>
      </c>
      <c r="G13" s="10" t="str">
        <f aca="false">IF($B13="","",IFERROR(INDEX(Drain_Register!$B$5:$B$304,MATCH($B13,Drain_Register!$A$5:$A$304,0)),IFERROR(INDEX(RW_Register!$B$5:$B$304,MATCH($B13,RW_Register!$A$5:$A$304,0)),IFERROR(INDEX(Other_Register!$B$5:$B$304,MATCH($B13,Other_Register!$A$5:$A$304,0)),"ID not found - check spelling"))))</f>
        <v/>
      </c>
      <c r="H13" s="10" t="str">
        <f aca="false">IF($B13="","",IFERROR(INDEX(Drain_Register!$R$5:$R$304,MATCH($B13,Drain_Register!$A$5:$A$304,0)),IFERROR(INDEX(RW_Register!$X$5:$X$304,MATCH($B13,RW_Register!$A$5:$A$304,0)),IFERROR(INDEX(Other_Register!$M$5:$M$304,MATCH($B13,Other_Register!$A$5:$A$304,0)),""))))</f>
        <v/>
      </c>
      <c r="I13" s="10" t="str">
        <f aca="false">IF($B13="","",IFERROR(INDEX(Drain_Register!$S$5:$S$304,MATCH($B13,Drain_Register!$A$5:$A$304,0)),IFERROR(INDEX(RW_Register!$Y$5:$Y$304,MATCH($B13,RW_Register!$A$5:$A$304,0)),IFERROR(INDEX(Other_Register!$N$5:$N$304,MATCH($B13,Other_Register!$A$5:$A$304,0)),""))))</f>
        <v/>
      </c>
      <c r="J13" s="10" t="str">
        <f aca="false">IF($B13="","",IFERROR(INDEX(Drain_Register!$T$5:$T$304,MATCH($B13,Drain_Register!$A$5:$A$304,0)),IFERROR(INDEX(RW_Register!$Z$5:$Z$304,MATCH($B13,RW_Register!$A$5:$A$304,0)),IFERROR(INDEX(Other_Register!$O$5:$O$304,MATCH($B13,Other_Register!$A$5:$A$304,0)),""))))</f>
        <v/>
      </c>
      <c r="K13" s="10" t="str">
        <f aca="false">IF($B13="","",IFERROR(INDEX(Drain_Register!$U$5:$U$304,MATCH($B13,Drain_Register!$A$5:$A$304,0)),IFERROR(INDEX(RW_Register!$AA$5:$AA$304,MATCH($B13,RW_Register!$A$5:$A$304,0)),IFERROR(INDEX(Other_Register!$P$5:$P$304,MATCH($B13,Other_Register!$A$5:$A$304,0)),""))))</f>
        <v/>
      </c>
      <c r="L13" s="21" t="str">
        <f aca="false">IF(OR($B13="",$D13=""),"",$D13*IFERROR(INDEX(Drain_Register!$X$5:$X$304,MATCH($B13,Drain_Register!$A$5:$A$304,0)),IFERROR(INDEX(RW_Register!$AD$5:$AD$304,MATCH($B13,RW_Register!$A$5:$A$304,0)),IFERROR(INDEX(Other_Register!$T$5:$T$304,MATCH($B13,Other_Register!$A$5:$A$304,0)),0))))</f>
        <v/>
      </c>
      <c r="M13" s="22" t="str">
        <f aca="false">IF(OR($B13="",$D13=""),"",$D13*IFERROR(INDEX(Drain_Register!$Y$5:$Y$304,MATCH($B13,Drain_Register!$A$5:$A$304,0)),IFERROR(INDEX(RW_Register!$AE$5:$AE$304,MATCH($B13,RW_Register!$A$5:$A$304,0)),IFERROR(INDEX(Other_Register!$U$5:$U$304,MATCH($B13,Other_Register!$A$5:$A$304,0)),0)))/1000)</f>
        <v/>
      </c>
      <c r="N13" s="21" t="str">
        <f aca="false">IF(OR($B13="",$D13=""),"",$D13*IFERROR(INDEX(Drain_Register!$Z$5:$Z$304,MATCH($B13,Drain_Register!$A$5:$A$304,0)),IFERROR(INDEX(RW_Register!$AF$5:$AF$304,MATCH($B13,RW_Register!$A$5:$A$304,0)),IFERROR(INDEX(Other_Register!$V$5:$V$304,MATCH($B13,Other_Register!$A$5:$A$304,0)),0))))</f>
        <v/>
      </c>
      <c r="O13" s="21" t="str">
        <f aca="false">IF(OR($B13="",$D13=""),"",$D13*IFERROR(INDEX(Drain_Register!$AA$5:$AA$304,MATCH($B13,Drain_Register!$A$5:$A$304,0)),IFERROR(INDEX(RW_Register!$AG$5:$AG$304,MATCH($B13,RW_Register!$A$5:$A$304,0)),IFERROR(INDEX(Other_Register!$W$5:$W$304,MATCH($B13,Other_Register!$A$5:$A$304,0)),0))))</f>
        <v/>
      </c>
      <c r="P13" s="10" t="str">
        <f aca="false">IF($B13="","",IF(F13="","ID not found",IF(I13&lt;&gt;"Approved","WARNING: status is "&amp;I13,IF(D13="","Enter length / qty","OK"))))</f>
        <v/>
      </c>
    </row>
    <row r="14" customFormat="false" ht="15" hidden="false" customHeight="false" outlineLevel="0" collapsed="false">
      <c r="A14" s="9"/>
      <c r="B14" s="9"/>
      <c r="C14" s="9"/>
      <c r="D14" s="23"/>
      <c r="E14" s="10" t="str">
        <f aca="false">IF($B14="","",IF(F14="Others",IFERROR(INDEX(Other_Register!$S$5:$S$304,MATCH($B14,Other_Register!$A$5:$A$304,0)),""),IF(F14="",  "","m")))</f>
        <v/>
      </c>
      <c r="F14" s="10" t="str">
        <f aca="false">IF($B14="","",IF(ISNUMBER(MATCH($B14,Drain_Register!$A$5:$A$304,0)),"Drain",IF(ISNUMBER(MATCH($B14,RW_Register!$A$5:$A$304,0)),"Ret. Wall",IF(ISNUMBER(MATCH($B14,Other_Register!$A$5:$A$304,0)),"Others",""))))</f>
        <v/>
      </c>
      <c r="G14" s="10" t="str">
        <f aca="false">IF($B14="","",IFERROR(INDEX(Drain_Register!$B$5:$B$304,MATCH($B14,Drain_Register!$A$5:$A$304,0)),IFERROR(INDEX(RW_Register!$B$5:$B$304,MATCH($B14,RW_Register!$A$5:$A$304,0)),IFERROR(INDEX(Other_Register!$B$5:$B$304,MATCH($B14,Other_Register!$A$5:$A$304,0)),"ID not found - check spelling"))))</f>
        <v/>
      </c>
      <c r="H14" s="10" t="str">
        <f aca="false">IF($B14="","",IFERROR(INDEX(Drain_Register!$R$5:$R$304,MATCH($B14,Drain_Register!$A$5:$A$304,0)),IFERROR(INDEX(RW_Register!$X$5:$X$304,MATCH($B14,RW_Register!$A$5:$A$304,0)),IFERROR(INDEX(Other_Register!$M$5:$M$304,MATCH($B14,Other_Register!$A$5:$A$304,0)),""))))</f>
        <v/>
      </c>
      <c r="I14" s="10" t="str">
        <f aca="false">IF($B14="","",IFERROR(INDEX(Drain_Register!$S$5:$S$304,MATCH($B14,Drain_Register!$A$5:$A$304,0)),IFERROR(INDEX(RW_Register!$Y$5:$Y$304,MATCH($B14,RW_Register!$A$5:$A$304,0)),IFERROR(INDEX(Other_Register!$N$5:$N$304,MATCH($B14,Other_Register!$A$5:$A$304,0)),""))))</f>
        <v/>
      </c>
      <c r="J14" s="10" t="str">
        <f aca="false">IF($B14="","",IFERROR(INDEX(Drain_Register!$T$5:$T$304,MATCH($B14,Drain_Register!$A$5:$A$304,0)),IFERROR(INDEX(RW_Register!$Z$5:$Z$304,MATCH($B14,RW_Register!$A$5:$A$304,0)),IFERROR(INDEX(Other_Register!$O$5:$O$304,MATCH($B14,Other_Register!$A$5:$A$304,0)),""))))</f>
        <v/>
      </c>
      <c r="K14" s="10" t="str">
        <f aca="false">IF($B14="","",IFERROR(INDEX(Drain_Register!$U$5:$U$304,MATCH($B14,Drain_Register!$A$5:$A$304,0)),IFERROR(INDEX(RW_Register!$AA$5:$AA$304,MATCH($B14,RW_Register!$A$5:$A$304,0)),IFERROR(INDEX(Other_Register!$P$5:$P$304,MATCH($B14,Other_Register!$A$5:$A$304,0)),""))))</f>
        <v/>
      </c>
      <c r="L14" s="21" t="str">
        <f aca="false">IF(OR($B14="",$D14=""),"",$D14*IFERROR(INDEX(Drain_Register!$X$5:$X$304,MATCH($B14,Drain_Register!$A$5:$A$304,0)),IFERROR(INDEX(RW_Register!$AD$5:$AD$304,MATCH($B14,RW_Register!$A$5:$A$304,0)),IFERROR(INDEX(Other_Register!$T$5:$T$304,MATCH($B14,Other_Register!$A$5:$A$304,0)),0))))</f>
        <v/>
      </c>
      <c r="M14" s="22" t="str">
        <f aca="false">IF(OR($B14="",$D14=""),"",$D14*IFERROR(INDEX(Drain_Register!$Y$5:$Y$304,MATCH($B14,Drain_Register!$A$5:$A$304,0)),IFERROR(INDEX(RW_Register!$AE$5:$AE$304,MATCH($B14,RW_Register!$A$5:$A$304,0)),IFERROR(INDEX(Other_Register!$U$5:$U$304,MATCH($B14,Other_Register!$A$5:$A$304,0)),0)))/1000)</f>
        <v/>
      </c>
      <c r="N14" s="21" t="str">
        <f aca="false">IF(OR($B14="",$D14=""),"",$D14*IFERROR(INDEX(Drain_Register!$Z$5:$Z$304,MATCH($B14,Drain_Register!$A$5:$A$304,0)),IFERROR(INDEX(RW_Register!$AF$5:$AF$304,MATCH($B14,RW_Register!$A$5:$A$304,0)),IFERROR(INDEX(Other_Register!$V$5:$V$304,MATCH($B14,Other_Register!$A$5:$A$304,0)),0))))</f>
        <v/>
      </c>
      <c r="O14" s="21" t="str">
        <f aca="false">IF(OR($B14="",$D14=""),"",$D14*IFERROR(INDEX(Drain_Register!$AA$5:$AA$304,MATCH($B14,Drain_Register!$A$5:$A$304,0)),IFERROR(INDEX(RW_Register!$AG$5:$AG$304,MATCH($B14,RW_Register!$A$5:$A$304,0)),IFERROR(INDEX(Other_Register!$W$5:$W$304,MATCH($B14,Other_Register!$A$5:$A$304,0)),0))))</f>
        <v/>
      </c>
      <c r="P14" s="10" t="str">
        <f aca="false">IF($B14="","",IF(F14="","ID not found",IF(I14&lt;&gt;"Approved","WARNING: status is "&amp;I14,IF(D14="","Enter length / qty","OK"))))</f>
        <v/>
      </c>
    </row>
    <row r="15" customFormat="false" ht="15" hidden="false" customHeight="false" outlineLevel="0" collapsed="false">
      <c r="A15" s="9"/>
      <c r="B15" s="9"/>
      <c r="C15" s="9"/>
      <c r="D15" s="23"/>
      <c r="E15" s="10" t="str">
        <f aca="false">IF($B15="","",IF(F15="Others",IFERROR(INDEX(Other_Register!$S$5:$S$304,MATCH($B15,Other_Register!$A$5:$A$304,0)),""),IF(F15="",  "","m")))</f>
        <v/>
      </c>
      <c r="F15" s="10" t="str">
        <f aca="false">IF($B15="","",IF(ISNUMBER(MATCH($B15,Drain_Register!$A$5:$A$304,0)),"Drain",IF(ISNUMBER(MATCH($B15,RW_Register!$A$5:$A$304,0)),"Ret. Wall",IF(ISNUMBER(MATCH($B15,Other_Register!$A$5:$A$304,0)),"Others",""))))</f>
        <v/>
      </c>
      <c r="G15" s="10" t="str">
        <f aca="false">IF($B15="","",IFERROR(INDEX(Drain_Register!$B$5:$B$304,MATCH($B15,Drain_Register!$A$5:$A$304,0)),IFERROR(INDEX(RW_Register!$B$5:$B$304,MATCH($B15,RW_Register!$A$5:$A$304,0)),IFERROR(INDEX(Other_Register!$B$5:$B$304,MATCH($B15,Other_Register!$A$5:$A$304,0)),"ID not found - check spelling"))))</f>
        <v/>
      </c>
      <c r="H15" s="10" t="str">
        <f aca="false">IF($B15="","",IFERROR(INDEX(Drain_Register!$R$5:$R$304,MATCH($B15,Drain_Register!$A$5:$A$304,0)),IFERROR(INDEX(RW_Register!$X$5:$X$304,MATCH($B15,RW_Register!$A$5:$A$304,0)),IFERROR(INDEX(Other_Register!$M$5:$M$304,MATCH($B15,Other_Register!$A$5:$A$304,0)),""))))</f>
        <v/>
      </c>
      <c r="I15" s="10" t="str">
        <f aca="false">IF($B15="","",IFERROR(INDEX(Drain_Register!$S$5:$S$304,MATCH($B15,Drain_Register!$A$5:$A$304,0)),IFERROR(INDEX(RW_Register!$Y$5:$Y$304,MATCH($B15,RW_Register!$A$5:$A$304,0)),IFERROR(INDEX(Other_Register!$N$5:$N$304,MATCH($B15,Other_Register!$A$5:$A$304,0)),""))))</f>
        <v/>
      </c>
      <c r="J15" s="10" t="str">
        <f aca="false">IF($B15="","",IFERROR(INDEX(Drain_Register!$T$5:$T$304,MATCH($B15,Drain_Register!$A$5:$A$304,0)),IFERROR(INDEX(RW_Register!$Z$5:$Z$304,MATCH($B15,RW_Register!$A$5:$A$304,0)),IFERROR(INDEX(Other_Register!$O$5:$O$304,MATCH($B15,Other_Register!$A$5:$A$304,0)),""))))</f>
        <v/>
      </c>
      <c r="K15" s="10" t="str">
        <f aca="false">IF($B15="","",IFERROR(INDEX(Drain_Register!$U$5:$U$304,MATCH($B15,Drain_Register!$A$5:$A$304,0)),IFERROR(INDEX(RW_Register!$AA$5:$AA$304,MATCH($B15,RW_Register!$A$5:$A$304,0)),IFERROR(INDEX(Other_Register!$P$5:$P$304,MATCH($B15,Other_Register!$A$5:$A$304,0)),""))))</f>
        <v/>
      </c>
      <c r="L15" s="21" t="str">
        <f aca="false">IF(OR($B15="",$D15=""),"",$D15*IFERROR(INDEX(Drain_Register!$X$5:$X$304,MATCH($B15,Drain_Register!$A$5:$A$304,0)),IFERROR(INDEX(RW_Register!$AD$5:$AD$304,MATCH($B15,RW_Register!$A$5:$A$304,0)),IFERROR(INDEX(Other_Register!$T$5:$T$304,MATCH($B15,Other_Register!$A$5:$A$304,0)),0))))</f>
        <v/>
      </c>
      <c r="M15" s="22" t="str">
        <f aca="false">IF(OR($B15="",$D15=""),"",$D15*IFERROR(INDEX(Drain_Register!$Y$5:$Y$304,MATCH($B15,Drain_Register!$A$5:$A$304,0)),IFERROR(INDEX(RW_Register!$AE$5:$AE$304,MATCH($B15,RW_Register!$A$5:$A$304,0)),IFERROR(INDEX(Other_Register!$U$5:$U$304,MATCH($B15,Other_Register!$A$5:$A$304,0)),0)))/1000)</f>
        <v/>
      </c>
      <c r="N15" s="21" t="str">
        <f aca="false">IF(OR($B15="",$D15=""),"",$D15*IFERROR(INDEX(Drain_Register!$Z$5:$Z$304,MATCH($B15,Drain_Register!$A$5:$A$304,0)),IFERROR(INDEX(RW_Register!$AF$5:$AF$304,MATCH($B15,RW_Register!$A$5:$A$304,0)),IFERROR(INDEX(Other_Register!$V$5:$V$304,MATCH($B15,Other_Register!$A$5:$A$304,0)),0))))</f>
        <v/>
      </c>
      <c r="O15" s="21" t="str">
        <f aca="false">IF(OR($B15="",$D15=""),"",$D15*IFERROR(INDEX(Drain_Register!$AA$5:$AA$304,MATCH($B15,Drain_Register!$A$5:$A$304,0)),IFERROR(INDEX(RW_Register!$AG$5:$AG$304,MATCH($B15,RW_Register!$A$5:$A$304,0)),IFERROR(INDEX(Other_Register!$W$5:$W$304,MATCH($B15,Other_Register!$A$5:$A$304,0)),0))))</f>
        <v/>
      </c>
      <c r="P15" s="10" t="str">
        <f aca="false">IF($B15="","",IF(F15="","ID not found",IF(I15&lt;&gt;"Approved","WARNING: status is "&amp;I15,IF(D15="","Enter length / qty","OK"))))</f>
        <v/>
      </c>
    </row>
    <row r="16" customFormat="false" ht="15" hidden="false" customHeight="false" outlineLevel="0" collapsed="false">
      <c r="A16" s="9"/>
      <c r="B16" s="9"/>
      <c r="C16" s="9"/>
      <c r="D16" s="23"/>
      <c r="E16" s="10" t="str">
        <f aca="false">IF($B16="","",IF(F16="Others",IFERROR(INDEX(Other_Register!$S$5:$S$304,MATCH($B16,Other_Register!$A$5:$A$304,0)),""),IF(F16="",  "","m")))</f>
        <v/>
      </c>
      <c r="F16" s="10" t="str">
        <f aca="false">IF($B16="","",IF(ISNUMBER(MATCH($B16,Drain_Register!$A$5:$A$304,0)),"Drain",IF(ISNUMBER(MATCH($B16,RW_Register!$A$5:$A$304,0)),"Ret. Wall",IF(ISNUMBER(MATCH($B16,Other_Register!$A$5:$A$304,0)),"Others",""))))</f>
        <v/>
      </c>
      <c r="G16" s="10" t="str">
        <f aca="false">IF($B16="","",IFERROR(INDEX(Drain_Register!$B$5:$B$304,MATCH($B16,Drain_Register!$A$5:$A$304,0)),IFERROR(INDEX(RW_Register!$B$5:$B$304,MATCH($B16,RW_Register!$A$5:$A$304,0)),IFERROR(INDEX(Other_Register!$B$5:$B$304,MATCH($B16,Other_Register!$A$5:$A$304,0)),"ID not found - check spelling"))))</f>
        <v/>
      </c>
      <c r="H16" s="10" t="str">
        <f aca="false">IF($B16="","",IFERROR(INDEX(Drain_Register!$R$5:$R$304,MATCH($B16,Drain_Register!$A$5:$A$304,0)),IFERROR(INDEX(RW_Register!$X$5:$X$304,MATCH($B16,RW_Register!$A$5:$A$304,0)),IFERROR(INDEX(Other_Register!$M$5:$M$304,MATCH($B16,Other_Register!$A$5:$A$304,0)),""))))</f>
        <v/>
      </c>
      <c r="I16" s="10" t="str">
        <f aca="false">IF($B16="","",IFERROR(INDEX(Drain_Register!$S$5:$S$304,MATCH($B16,Drain_Register!$A$5:$A$304,0)),IFERROR(INDEX(RW_Register!$Y$5:$Y$304,MATCH($B16,RW_Register!$A$5:$A$304,0)),IFERROR(INDEX(Other_Register!$N$5:$N$304,MATCH($B16,Other_Register!$A$5:$A$304,0)),""))))</f>
        <v/>
      </c>
      <c r="J16" s="10" t="str">
        <f aca="false">IF($B16="","",IFERROR(INDEX(Drain_Register!$T$5:$T$304,MATCH($B16,Drain_Register!$A$5:$A$304,0)),IFERROR(INDEX(RW_Register!$Z$5:$Z$304,MATCH($B16,RW_Register!$A$5:$A$304,0)),IFERROR(INDEX(Other_Register!$O$5:$O$304,MATCH($B16,Other_Register!$A$5:$A$304,0)),""))))</f>
        <v/>
      </c>
      <c r="K16" s="10" t="str">
        <f aca="false">IF($B16="","",IFERROR(INDEX(Drain_Register!$U$5:$U$304,MATCH($B16,Drain_Register!$A$5:$A$304,0)),IFERROR(INDEX(RW_Register!$AA$5:$AA$304,MATCH($B16,RW_Register!$A$5:$A$304,0)),IFERROR(INDEX(Other_Register!$P$5:$P$304,MATCH($B16,Other_Register!$A$5:$A$304,0)),""))))</f>
        <v/>
      </c>
      <c r="L16" s="21" t="str">
        <f aca="false">IF(OR($B16="",$D16=""),"",$D16*IFERROR(INDEX(Drain_Register!$X$5:$X$304,MATCH($B16,Drain_Register!$A$5:$A$304,0)),IFERROR(INDEX(RW_Register!$AD$5:$AD$304,MATCH($B16,RW_Register!$A$5:$A$304,0)),IFERROR(INDEX(Other_Register!$T$5:$T$304,MATCH($B16,Other_Register!$A$5:$A$304,0)),0))))</f>
        <v/>
      </c>
      <c r="M16" s="22" t="str">
        <f aca="false">IF(OR($B16="",$D16=""),"",$D16*IFERROR(INDEX(Drain_Register!$Y$5:$Y$304,MATCH($B16,Drain_Register!$A$5:$A$304,0)),IFERROR(INDEX(RW_Register!$AE$5:$AE$304,MATCH($B16,RW_Register!$A$5:$A$304,0)),IFERROR(INDEX(Other_Register!$U$5:$U$304,MATCH($B16,Other_Register!$A$5:$A$304,0)),0)))/1000)</f>
        <v/>
      </c>
      <c r="N16" s="21" t="str">
        <f aca="false">IF(OR($B16="",$D16=""),"",$D16*IFERROR(INDEX(Drain_Register!$Z$5:$Z$304,MATCH($B16,Drain_Register!$A$5:$A$304,0)),IFERROR(INDEX(RW_Register!$AF$5:$AF$304,MATCH($B16,RW_Register!$A$5:$A$304,0)),IFERROR(INDEX(Other_Register!$V$5:$V$304,MATCH($B16,Other_Register!$A$5:$A$304,0)),0))))</f>
        <v/>
      </c>
      <c r="O16" s="21" t="str">
        <f aca="false">IF(OR($B16="",$D16=""),"",$D16*IFERROR(INDEX(Drain_Register!$AA$5:$AA$304,MATCH($B16,Drain_Register!$A$5:$A$304,0)),IFERROR(INDEX(RW_Register!$AG$5:$AG$304,MATCH($B16,RW_Register!$A$5:$A$304,0)),IFERROR(INDEX(Other_Register!$W$5:$W$304,MATCH($B16,Other_Register!$A$5:$A$304,0)),0))))</f>
        <v/>
      </c>
      <c r="P16" s="10" t="str">
        <f aca="false">IF($B16="","",IF(F16="","ID not found",IF(I16&lt;&gt;"Approved","WARNING: status is "&amp;I16,IF(D16="","Enter length / qty","OK"))))</f>
        <v/>
      </c>
    </row>
    <row r="17" customFormat="false" ht="15" hidden="false" customHeight="false" outlineLevel="0" collapsed="false">
      <c r="A17" s="9"/>
      <c r="B17" s="9"/>
      <c r="C17" s="9"/>
      <c r="D17" s="23"/>
      <c r="E17" s="10" t="str">
        <f aca="false">IF($B17="","",IF(F17="Others",IFERROR(INDEX(Other_Register!$S$5:$S$304,MATCH($B17,Other_Register!$A$5:$A$304,0)),""),IF(F17="",  "","m")))</f>
        <v/>
      </c>
      <c r="F17" s="10" t="str">
        <f aca="false">IF($B17="","",IF(ISNUMBER(MATCH($B17,Drain_Register!$A$5:$A$304,0)),"Drain",IF(ISNUMBER(MATCH($B17,RW_Register!$A$5:$A$304,0)),"Ret. Wall",IF(ISNUMBER(MATCH($B17,Other_Register!$A$5:$A$304,0)),"Others",""))))</f>
        <v/>
      </c>
      <c r="G17" s="10" t="str">
        <f aca="false">IF($B17="","",IFERROR(INDEX(Drain_Register!$B$5:$B$304,MATCH($B17,Drain_Register!$A$5:$A$304,0)),IFERROR(INDEX(RW_Register!$B$5:$B$304,MATCH($B17,RW_Register!$A$5:$A$304,0)),IFERROR(INDEX(Other_Register!$B$5:$B$304,MATCH($B17,Other_Register!$A$5:$A$304,0)),"ID not found - check spelling"))))</f>
        <v/>
      </c>
      <c r="H17" s="10" t="str">
        <f aca="false">IF($B17="","",IFERROR(INDEX(Drain_Register!$R$5:$R$304,MATCH($B17,Drain_Register!$A$5:$A$304,0)),IFERROR(INDEX(RW_Register!$X$5:$X$304,MATCH($B17,RW_Register!$A$5:$A$304,0)),IFERROR(INDEX(Other_Register!$M$5:$M$304,MATCH($B17,Other_Register!$A$5:$A$304,0)),""))))</f>
        <v/>
      </c>
      <c r="I17" s="10" t="str">
        <f aca="false">IF($B17="","",IFERROR(INDEX(Drain_Register!$S$5:$S$304,MATCH($B17,Drain_Register!$A$5:$A$304,0)),IFERROR(INDEX(RW_Register!$Y$5:$Y$304,MATCH($B17,RW_Register!$A$5:$A$304,0)),IFERROR(INDEX(Other_Register!$N$5:$N$304,MATCH($B17,Other_Register!$A$5:$A$304,0)),""))))</f>
        <v/>
      </c>
      <c r="J17" s="10" t="str">
        <f aca="false">IF($B17="","",IFERROR(INDEX(Drain_Register!$T$5:$T$304,MATCH($B17,Drain_Register!$A$5:$A$304,0)),IFERROR(INDEX(RW_Register!$Z$5:$Z$304,MATCH($B17,RW_Register!$A$5:$A$304,0)),IFERROR(INDEX(Other_Register!$O$5:$O$304,MATCH($B17,Other_Register!$A$5:$A$304,0)),""))))</f>
        <v/>
      </c>
      <c r="K17" s="10" t="str">
        <f aca="false">IF($B17="","",IFERROR(INDEX(Drain_Register!$U$5:$U$304,MATCH($B17,Drain_Register!$A$5:$A$304,0)),IFERROR(INDEX(RW_Register!$AA$5:$AA$304,MATCH($B17,RW_Register!$A$5:$A$304,0)),IFERROR(INDEX(Other_Register!$P$5:$P$304,MATCH($B17,Other_Register!$A$5:$A$304,0)),""))))</f>
        <v/>
      </c>
      <c r="L17" s="21" t="str">
        <f aca="false">IF(OR($B17="",$D17=""),"",$D17*IFERROR(INDEX(Drain_Register!$X$5:$X$304,MATCH($B17,Drain_Register!$A$5:$A$304,0)),IFERROR(INDEX(RW_Register!$AD$5:$AD$304,MATCH($B17,RW_Register!$A$5:$A$304,0)),IFERROR(INDEX(Other_Register!$T$5:$T$304,MATCH($B17,Other_Register!$A$5:$A$304,0)),0))))</f>
        <v/>
      </c>
      <c r="M17" s="22" t="str">
        <f aca="false">IF(OR($B17="",$D17=""),"",$D17*IFERROR(INDEX(Drain_Register!$Y$5:$Y$304,MATCH($B17,Drain_Register!$A$5:$A$304,0)),IFERROR(INDEX(RW_Register!$AE$5:$AE$304,MATCH($B17,RW_Register!$A$5:$A$304,0)),IFERROR(INDEX(Other_Register!$U$5:$U$304,MATCH($B17,Other_Register!$A$5:$A$304,0)),0)))/1000)</f>
        <v/>
      </c>
      <c r="N17" s="21" t="str">
        <f aca="false">IF(OR($B17="",$D17=""),"",$D17*IFERROR(INDEX(Drain_Register!$Z$5:$Z$304,MATCH($B17,Drain_Register!$A$5:$A$304,0)),IFERROR(INDEX(RW_Register!$AF$5:$AF$304,MATCH($B17,RW_Register!$A$5:$A$304,0)),IFERROR(INDEX(Other_Register!$V$5:$V$304,MATCH($B17,Other_Register!$A$5:$A$304,0)),0))))</f>
        <v/>
      </c>
      <c r="O17" s="21" t="str">
        <f aca="false">IF(OR($B17="",$D17=""),"",$D17*IFERROR(INDEX(Drain_Register!$AA$5:$AA$304,MATCH($B17,Drain_Register!$A$5:$A$304,0)),IFERROR(INDEX(RW_Register!$AG$5:$AG$304,MATCH($B17,RW_Register!$A$5:$A$304,0)),IFERROR(INDEX(Other_Register!$W$5:$W$304,MATCH($B17,Other_Register!$A$5:$A$304,0)),0))))</f>
        <v/>
      </c>
      <c r="P17" s="10" t="str">
        <f aca="false">IF($B17="","",IF(F17="","ID not found",IF(I17&lt;&gt;"Approved","WARNING: status is "&amp;I17,IF(D17="","Enter length / qty","OK"))))</f>
        <v/>
      </c>
    </row>
    <row r="18" customFormat="false" ht="15" hidden="false" customHeight="false" outlineLevel="0" collapsed="false">
      <c r="A18" s="9"/>
      <c r="B18" s="9"/>
      <c r="C18" s="9"/>
      <c r="D18" s="23"/>
      <c r="E18" s="10" t="str">
        <f aca="false">IF($B18="","",IF(F18="Others",IFERROR(INDEX(Other_Register!$S$5:$S$304,MATCH($B18,Other_Register!$A$5:$A$304,0)),""),IF(F18="",  "","m")))</f>
        <v/>
      </c>
      <c r="F18" s="10" t="str">
        <f aca="false">IF($B18="","",IF(ISNUMBER(MATCH($B18,Drain_Register!$A$5:$A$304,0)),"Drain",IF(ISNUMBER(MATCH($B18,RW_Register!$A$5:$A$304,0)),"Ret. Wall",IF(ISNUMBER(MATCH($B18,Other_Register!$A$5:$A$304,0)),"Others",""))))</f>
        <v/>
      </c>
      <c r="G18" s="10" t="str">
        <f aca="false">IF($B18="","",IFERROR(INDEX(Drain_Register!$B$5:$B$304,MATCH($B18,Drain_Register!$A$5:$A$304,0)),IFERROR(INDEX(RW_Register!$B$5:$B$304,MATCH($B18,RW_Register!$A$5:$A$304,0)),IFERROR(INDEX(Other_Register!$B$5:$B$304,MATCH($B18,Other_Register!$A$5:$A$304,0)),"ID not found - check spelling"))))</f>
        <v/>
      </c>
      <c r="H18" s="10" t="str">
        <f aca="false">IF($B18="","",IFERROR(INDEX(Drain_Register!$R$5:$R$304,MATCH($B18,Drain_Register!$A$5:$A$304,0)),IFERROR(INDEX(RW_Register!$X$5:$X$304,MATCH($B18,RW_Register!$A$5:$A$304,0)),IFERROR(INDEX(Other_Register!$M$5:$M$304,MATCH($B18,Other_Register!$A$5:$A$304,0)),""))))</f>
        <v/>
      </c>
      <c r="I18" s="10" t="str">
        <f aca="false">IF($B18="","",IFERROR(INDEX(Drain_Register!$S$5:$S$304,MATCH($B18,Drain_Register!$A$5:$A$304,0)),IFERROR(INDEX(RW_Register!$Y$5:$Y$304,MATCH($B18,RW_Register!$A$5:$A$304,0)),IFERROR(INDEX(Other_Register!$N$5:$N$304,MATCH($B18,Other_Register!$A$5:$A$304,0)),""))))</f>
        <v/>
      </c>
      <c r="J18" s="10" t="str">
        <f aca="false">IF($B18="","",IFERROR(INDEX(Drain_Register!$T$5:$T$304,MATCH($B18,Drain_Register!$A$5:$A$304,0)),IFERROR(INDEX(RW_Register!$Z$5:$Z$304,MATCH($B18,RW_Register!$A$5:$A$304,0)),IFERROR(INDEX(Other_Register!$O$5:$O$304,MATCH($B18,Other_Register!$A$5:$A$304,0)),""))))</f>
        <v/>
      </c>
      <c r="K18" s="10" t="str">
        <f aca="false">IF($B18="","",IFERROR(INDEX(Drain_Register!$U$5:$U$304,MATCH($B18,Drain_Register!$A$5:$A$304,0)),IFERROR(INDEX(RW_Register!$AA$5:$AA$304,MATCH($B18,RW_Register!$A$5:$A$304,0)),IFERROR(INDEX(Other_Register!$P$5:$P$304,MATCH($B18,Other_Register!$A$5:$A$304,0)),""))))</f>
        <v/>
      </c>
      <c r="L18" s="21" t="str">
        <f aca="false">IF(OR($B18="",$D18=""),"",$D18*IFERROR(INDEX(Drain_Register!$X$5:$X$304,MATCH($B18,Drain_Register!$A$5:$A$304,0)),IFERROR(INDEX(RW_Register!$AD$5:$AD$304,MATCH($B18,RW_Register!$A$5:$A$304,0)),IFERROR(INDEX(Other_Register!$T$5:$T$304,MATCH($B18,Other_Register!$A$5:$A$304,0)),0))))</f>
        <v/>
      </c>
      <c r="M18" s="22" t="str">
        <f aca="false">IF(OR($B18="",$D18=""),"",$D18*IFERROR(INDEX(Drain_Register!$Y$5:$Y$304,MATCH($B18,Drain_Register!$A$5:$A$304,0)),IFERROR(INDEX(RW_Register!$AE$5:$AE$304,MATCH($B18,RW_Register!$A$5:$A$304,0)),IFERROR(INDEX(Other_Register!$U$5:$U$304,MATCH($B18,Other_Register!$A$5:$A$304,0)),0)))/1000)</f>
        <v/>
      </c>
      <c r="N18" s="21" t="str">
        <f aca="false">IF(OR($B18="",$D18=""),"",$D18*IFERROR(INDEX(Drain_Register!$Z$5:$Z$304,MATCH($B18,Drain_Register!$A$5:$A$304,0)),IFERROR(INDEX(RW_Register!$AF$5:$AF$304,MATCH($B18,RW_Register!$A$5:$A$304,0)),IFERROR(INDEX(Other_Register!$V$5:$V$304,MATCH($B18,Other_Register!$A$5:$A$304,0)),0))))</f>
        <v/>
      </c>
      <c r="O18" s="21" t="str">
        <f aca="false">IF(OR($B18="",$D18=""),"",$D18*IFERROR(INDEX(Drain_Register!$AA$5:$AA$304,MATCH($B18,Drain_Register!$A$5:$A$304,0)),IFERROR(INDEX(RW_Register!$AG$5:$AG$304,MATCH($B18,RW_Register!$A$5:$A$304,0)),IFERROR(INDEX(Other_Register!$W$5:$W$304,MATCH($B18,Other_Register!$A$5:$A$304,0)),0))))</f>
        <v/>
      </c>
      <c r="P18" s="10" t="str">
        <f aca="false">IF($B18="","",IF(F18="","ID not found",IF(I18&lt;&gt;"Approved","WARNING: status is "&amp;I18,IF(D18="","Enter length / qty","OK"))))</f>
        <v/>
      </c>
    </row>
    <row r="19" customFormat="false" ht="15" hidden="false" customHeight="false" outlineLevel="0" collapsed="false">
      <c r="A19" s="9"/>
      <c r="B19" s="9"/>
      <c r="C19" s="9"/>
      <c r="D19" s="23"/>
      <c r="E19" s="10" t="str">
        <f aca="false">IF($B19="","",IF(F19="Others",IFERROR(INDEX(Other_Register!$S$5:$S$304,MATCH($B19,Other_Register!$A$5:$A$304,0)),""),IF(F19="",  "","m")))</f>
        <v/>
      </c>
      <c r="F19" s="10" t="str">
        <f aca="false">IF($B19="","",IF(ISNUMBER(MATCH($B19,Drain_Register!$A$5:$A$304,0)),"Drain",IF(ISNUMBER(MATCH($B19,RW_Register!$A$5:$A$304,0)),"Ret. Wall",IF(ISNUMBER(MATCH($B19,Other_Register!$A$5:$A$304,0)),"Others",""))))</f>
        <v/>
      </c>
      <c r="G19" s="10" t="str">
        <f aca="false">IF($B19="","",IFERROR(INDEX(Drain_Register!$B$5:$B$304,MATCH($B19,Drain_Register!$A$5:$A$304,0)),IFERROR(INDEX(RW_Register!$B$5:$B$304,MATCH($B19,RW_Register!$A$5:$A$304,0)),IFERROR(INDEX(Other_Register!$B$5:$B$304,MATCH($B19,Other_Register!$A$5:$A$304,0)),"ID not found - check spelling"))))</f>
        <v/>
      </c>
      <c r="H19" s="10" t="str">
        <f aca="false">IF($B19="","",IFERROR(INDEX(Drain_Register!$R$5:$R$304,MATCH($B19,Drain_Register!$A$5:$A$304,0)),IFERROR(INDEX(RW_Register!$X$5:$X$304,MATCH($B19,RW_Register!$A$5:$A$304,0)),IFERROR(INDEX(Other_Register!$M$5:$M$304,MATCH($B19,Other_Register!$A$5:$A$304,0)),""))))</f>
        <v/>
      </c>
      <c r="I19" s="10" t="str">
        <f aca="false">IF($B19="","",IFERROR(INDEX(Drain_Register!$S$5:$S$304,MATCH($B19,Drain_Register!$A$5:$A$304,0)),IFERROR(INDEX(RW_Register!$Y$5:$Y$304,MATCH($B19,RW_Register!$A$5:$A$304,0)),IFERROR(INDEX(Other_Register!$N$5:$N$304,MATCH($B19,Other_Register!$A$5:$A$304,0)),""))))</f>
        <v/>
      </c>
      <c r="J19" s="10" t="str">
        <f aca="false">IF($B19="","",IFERROR(INDEX(Drain_Register!$T$5:$T$304,MATCH($B19,Drain_Register!$A$5:$A$304,0)),IFERROR(INDEX(RW_Register!$Z$5:$Z$304,MATCH($B19,RW_Register!$A$5:$A$304,0)),IFERROR(INDEX(Other_Register!$O$5:$O$304,MATCH($B19,Other_Register!$A$5:$A$304,0)),""))))</f>
        <v/>
      </c>
      <c r="K19" s="10" t="str">
        <f aca="false">IF($B19="","",IFERROR(INDEX(Drain_Register!$U$5:$U$304,MATCH($B19,Drain_Register!$A$5:$A$304,0)),IFERROR(INDEX(RW_Register!$AA$5:$AA$304,MATCH($B19,RW_Register!$A$5:$A$304,0)),IFERROR(INDEX(Other_Register!$P$5:$P$304,MATCH($B19,Other_Register!$A$5:$A$304,0)),""))))</f>
        <v/>
      </c>
      <c r="L19" s="21" t="str">
        <f aca="false">IF(OR($B19="",$D19=""),"",$D19*IFERROR(INDEX(Drain_Register!$X$5:$X$304,MATCH($B19,Drain_Register!$A$5:$A$304,0)),IFERROR(INDEX(RW_Register!$AD$5:$AD$304,MATCH($B19,RW_Register!$A$5:$A$304,0)),IFERROR(INDEX(Other_Register!$T$5:$T$304,MATCH($B19,Other_Register!$A$5:$A$304,0)),0))))</f>
        <v/>
      </c>
      <c r="M19" s="22" t="str">
        <f aca="false">IF(OR($B19="",$D19=""),"",$D19*IFERROR(INDEX(Drain_Register!$Y$5:$Y$304,MATCH($B19,Drain_Register!$A$5:$A$304,0)),IFERROR(INDEX(RW_Register!$AE$5:$AE$304,MATCH($B19,RW_Register!$A$5:$A$304,0)),IFERROR(INDEX(Other_Register!$U$5:$U$304,MATCH($B19,Other_Register!$A$5:$A$304,0)),0)))/1000)</f>
        <v/>
      </c>
      <c r="N19" s="21" t="str">
        <f aca="false">IF(OR($B19="",$D19=""),"",$D19*IFERROR(INDEX(Drain_Register!$Z$5:$Z$304,MATCH($B19,Drain_Register!$A$5:$A$304,0)),IFERROR(INDEX(RW_Register!$AF$5:$AF$304,MATCH($B19,RW_Register!$A$5:$A$304,0)),IFERROR(INDEX(Other_Register!$V$5:$V$304,MATCH($B19,Other_Register!$A$5:$A$304,0)),0))))</f>
        <v/>
      </c>
      <c r="O19" s="21" t="str">
        <f aca="false">IF(OR($B19="",$D19=""),"",$D19*IFERROR(INDEX(Drain_Register!$AA$5:$AA$304,MATCH($B19,Drain_Register!$A$5:$A$304,0)),IFERROR(INDEX(RW_Register!$AG$5:$AG$304,MATCH($B19,RW_Register!$A$5:$A$304,0)),IFERROR(INDEX(Other_Register!$W$5:$W$304,MATCH($B19,Other_Register!$A$5:$A$304,0)),0))))</f>
        <v/>
      </c>
      <c r="P19" s="10" t="str">
        <f aca="false">IF($B19="","",IF(F19="","ID not found",IF(I19&lt;&gt;"Approved","WARNING: status is "&amp;I19,IF(D19="","Enter length / qty","OK"))))</f>
        <v/>
      </c>
    </row>
    <row r="20" customFormat="false" ht="15" hidden="false" customHeight="false" outlineLevel="0" collapsed="false">
      <c r="A20" s="9"/>
      <c r="B20" s="9"/>
      <c r="C20" s="9"/>
      <c r="D20" s="23"/>
      <c r="E20" s="10" t="str">
        <f aca="false">IF($B20="","",IF(F20="Others",IFERROR(INDEX(Other_Register!$S$5:$S$304,MATCH($B20,Other_Register!$A$5:$A$304,0)),""),IF(F20="",  "","m")))</f>
        <v/>
      </c>
      <c r="F20" s="10" t="str">
        <f aca="false">IF($B20="","",IF(ISNUMBER(MATCH($B20,Drain_Register!$A$5:$A$304,0)),"Drain",IF(ISNUMBER(MATCH($B20,RW_Register!$A$5:$A$304,0)),"Ret. Wall",IF(ISNUMBER(MATCH($B20,Other_Register!$A$5:$A$304,0)),"Others",""))))</f>
        <v/>
      </c>
      <c r="G20" s="10" t="str">
        <f aca="false">IF($B20="","",IFERROR(INDEX(Drain_Register!$B$5:$B$304,MATCH($B20,Drain_Register!$A$5:$A$304,0)),IFERROR(INDEX(RW_Register!$B$5:$B$304,MATCH($B20,RW_Register!$A$5:$A$304,0)),IFERROR(INDEX(Other_Register!$B$5:$B$304,MATCH($B20,Other_Register!$A$5:$A$304,0)),"ID not found - check spelling"))))</f>
        <v/>
      </c>
      <c r="H20" s="10" t="str">
        <f aca="false">IF($B20="","",IFERROR(INDEX(Drain_Register!$R$5:$R$304,MATCH($B20,Drain_Register!$A$5:$A$304,0)),IFERROR(INDEX(RW_Register!$X$5:$X$304,MATCH($B20,RW_Register!$A$5:$A$304,0)),IFERROR(INDEX(Other_Register!$M$5:$M$304,MATCH($B20,Other_Register!$A$5:$A$304,0)),""))))</f>
        <v/>
      </c>
      <c r="I20" s="10" t="str">
        <f aca="false">IF($B20="","",IFERROR(INDEX(Drain_Register!$S$5:$S$304,MATCH($B20,Drain_Register!$A$5:$A$304,0)),IFERROR(INDEX(RW_Register!$Y$5:$Y$304,MATCH($B20,RW_Register!$A$5:$A$304,0)),IFERROR(INDEX(Other_Register!$N$5:$N$304,MATCH($B20,Other_Register!$A$5:$A$304,0)),""))))</f>
        <v/>
      </c>
      <c r="J20" s="10" t="str">
        <f aca="false">IF($B20="","",IFERROR(INDEX(Drain_Register!$T$5:$T$304,MATCH($B20,Drain_Register!$A$5:$A$304,0)),IFERROR(INDEX(RW_Register!$Z$5:$Z$304,MATCH($B20,RW_Register!$A$5:$A$304,0)),IFERROR(INDEX(Other_Register!$O$5:$O$304,MATCH($B20,Other_Register!$A$5:$A$304,0)),""))))</f>
        <v/>
      </c>
      <c r="K20" s="10" t="str">
        <f aca="false">IF($B20="","",IFERROR(INDEX(Drain_Register!$U$5:$U$304,MATCH($B20,Drain_Register!$A$5:$A$304,0)),IFERROR(INDEX(RW_Register!$AA$5:$AA$304,MATCH($B20,RW_Register!$A$5:$A$304,0)),IFERROR(INDEX(Other_Register!$P$5:$P$304,MATCH($B20,Other_Register!$A$5:$A$304,0)),""))))</f>
        <v/>
      </c>
      <c r="L20" s="21" t="str">
        <f aca="false">IF(OR($B20="",$D20=""),"",$D20*IFERROR(INDEX(Drain_Register!$X$5:$X$304,MATCH($B20,Drain_Register!$A$5:$A$304,0)),IFERROR(INDEX(RW_Register!$AD$5:$AD$304,MATCH($B20,RW_Register!$A$5:$A$304,0)),IFERROR(INDEX(Other_Register!$T$5:$T$304,MATCH($B20,Other_Register!$A$5:$A$304,0)),0))))</f>
        <v/>
      </c>
      <c r="M20" s="22" t="str">
        <f aca="false">IF(OR($B20="",$D20=""),"",$D20*IFERROR(INDEX(Drain_Register!$Y$5:$Y$304,MATCH($B20,Drain_Register!$A$5:$A$304,0)),IFERROR(INDEX(RW_Register!$AE$5:$AE$304,MATCH($B20,RW_Register!$A$5:$A$304,0)),IFERROR(INDEX(Other_Register!$U$5:$U$304,MATCH($B20,Other_Register!$A$5:$A$304,0)),0)))/1000)</f>
        <v/>
      </c>
      <c r="N20" s="21" t="str">
        <f aca="false">IF(OR($B20="",$D20=""),"",$D20*IFERROR(INDEX(Drain_Register!$Z$5:$Z$304,MATCH($B20,Drain_Register!$A$5:$A$304,0)),IFERROR(INDEX(RW_Register!$AF$5:$AF$304,MATCH($B20,RW_Register!$A$5:$A$304,0)),IFERROR(INDEX(Other_Register!$V$5:$V$304,MATCH($B20,Other_Register!$A$5:$A$304,0)),0))))</f>
        <v/>
      </c>
      <c r="O20" s="21" t="str">
        <f aca="false">IF(OR($B20="",$D20=""),"",$D20*IFERROR(INDEX(Drain_Register!$AA$5:$AA$304,MATCH($B20,Drain_Register!$A$5:$A$304,0)),IFERROR(INDEX(RW_Register!$AG$5:$AG$304,MATCH($B20,RW_Register!$A$5:$A$304,0)),IFERROR(INDEX(Other_Register!$W$5:$W$304,MATCH($B20,Other_Register!$A$5:$A$304,0)),0))))</f>
        <v/>
      </c>
      <c r="P20" s="10" t="str">
        <f aca="false">IF($B20="","",IF(F20="","ID not found",IF(I20&lt;&gt;"Approved","WARNING: status is "&amp;I20,IF(D20="","Enter length / qty","OK"))))</f>
        <v/>
      </c>
    </row>
    <row r="21" customFormat="false" ht="15" hidden="false" customHeight="false" outlineLevel="0" collapsed="false">
      <c r="A21" s="9"/>
      <c r="B21" s="9"/>
      <c r="C21" s="9"/>
      <c r="D21" s="23"/>
      <c r="E21" s="10" t="str">
        <f aca="false">IF($B21="","",IF(F21="Others",IFERROR(INDEX(Other_Register!$S$5:$S$304,MATCH($B21,Other_Register!$A$5:$A$304,0)),""),IF(F21="",  "","m")))</f>
        <v/>
      </c>
      <c r="F21" s="10" t="str">
        <f aca="false">IF($B21="","",IF(ISNUMBER(MATCH($B21,Drain_Register!$A$5:$A$304,0)),"Drain",IF(ISNUMBER(MATCH($B21,RW_Register!$A$5:$A$304,0)),"Ret. Wall",IF(ISNUMBER(MATCH($B21,Other_Register!$A$5:$A$304,0)),"Others",""))))</f>
        <v/>
      </c>
      <c r="G21" s="10" t="str">
        <f aca="false">IF($B21="","",IFERROR(INDEX(Drain_Register!$B$5:$B$304,MATCH($B21,Drain_Register!$A$5:$A$304,0)),IFERROR(INDEX(RW_Register!$B$5:$B$304,MATCH($B21,RW_Register!$A$5:$A$304,0)),IFERROR(INDEX(Other_Register!$B$5:$B$304,MATCH($B21,Other_Register!$A$5:$A$304,0)),"ID not found - check spelling"))))</f>
        <v/>
      </c>
      <c r="H21" s="10" t="str">
        <f aca="false">IF($B21="","",IFERROR(INDEX(Drain_Register!$R$5:$R$304,MATCH($B21,Drain_Register!$A$5:$A$304,0)),IFERROR(INDEX(RW_Register!$X$5:$X$304,MATCH($B21,RW_Register!$A$5:$A$304,0)),IFERROR(INDEX(Other_Register!$M$5:$M$304,MATCH($B21,Other_Register!$A$5:$A$304,0)),""))))</f>
        <v/>
      </c>
      <c r="I21" s="10" t="str">
        <f aca="false">IF($B21="","",IFERROR(INDEX(Drain_Register!$S$5:$S$304,MATCH($B21,Drain_Register!$A$5:$A$304,0)),IFERROR(INDEX(RW_Register!$Y$5:$Y$304,MATCH($B21,RW_Register!$A$5:$A$304,0)),IFERROR(INDEX(Other_Register!$N$5:$N$304,MATCH($B21,Other_Register!$A$5:$A$304,0)),""))))</f>
        <v/>
      </c>
      <c r="J21" s="10" t="str">
        <f aca="false">IF($B21="","",IFERROR(INDEX(Drain_Register!$T$5:$T$304,MATCH($B21,Drain_Register!$A$5:$A$304,0)),IFERROR(INDEX(RW_Register!$Z$5:$Z$304,MATCH($B21,RW_Register!$A$5:$A$304,0)),IFERROR(INDEX(Other_Register!$O$5:$O$304,MATCH($B21,Other_Register!$A$5:$A$304,0)),""))))</f>
        <v/>
      </c>
      <c r="K21" s="10" t="str">
        <f aca="false">IF($B21="","",IFERROR(INDEX(Drain_Register!$U$5:$U$304,MATCH($B21,Drain_Register!$A$5:$A$304,0)),IFERROR(INDEX(RW_Register!$AA$5:$AA$304,MATCH($B21,RW_Register!$A$5:$A$304,0)),IFERROR(INDEX(Other_Register!$P$5:$P$304,MATCH($B21,Other_Register!$A$5:$A$304,0)),""))))</f>
        <v/>
      </c>
      <c r="L21" s="21" t="str">
        <f aca="false">IF(OR($B21="",$D21=""),"",$D21*IFERROR(INDEX(Drain_Register!$X$5:$X$304,MATCH($B21,Drain_Register!$A$5:$A$304,0)),IFERROR(INDEX(RW_Register!$AD$5:$AD$304,MATCH($B21,RW_Register!$A$5:$A$304,0)),IFERROR(INDEX(Other_Register!$T$5:$T$304,MATCH($B21,Other_Register!$A$5:$A$304,0)),0))))</f>
        <v/>
      </c>
      <c r="M21" s="22" t="str">
        <f aca="false">IF(OR($B21="",$D21=""),"",$D21*IFERROR(INDEX(Drain_Register!$Y$5:$Y$304,MATCH($B21,Drain_Register!$A$5:$A$304,0)),IFERROR(INDEX(RW_Register!$AE$5:$AE$304,MATCH($B21,RW_Register!$A$5:$A$304,0)),IFERROR(INDEX(Other_Register!$U$5:$U$304,MATCH($B21,Other_Register!$A$5:$A$304,0)),0)))/1000)</f>
        <v/>
      </c>
      <c r="N21" s="21" t="str">
        <f aca="false">IF(OR($B21="",$D21=""),"",$D21*IFERROR(INDEX(Drain_Register!$Z$5:$Z$304,MATCH($B21,Drain_Register!$A$5:$A$304,0)),IFERROR(INDEX(RW_Register!$AF$5:$AF$304,MATCH($B21,RW_Register!$A$5:$A$304,0)),IFERROR(INDEX(Other_Register!$V$5:$V$304,MATCH($B21,Other_Register!$A$5:$A$304,0)),0))))</f>
        <v/>
      </c>
      <c r="O21" s="21" t="str">
        <f aca="false">IF(OR($B21="",$D21=""),"",$D21*IFERROR(INDEX(Drain_Register!$AA$5:$AA$304,MATCH($B21,Drain_Register!$A$5:$A$304,0)),IFERROR(INDEX(RW_Register!$AG$5:$AG$304,MATCH($B21,RW_Register!$A$5:$A$304,0)),IFERROR(INDEX(Other_Register!$W$5:$W$304,MATCH($B21,Other_Register!$A$5:$A$304,0)),0))))</f>
        <v/>
      </c>
      <c r="P21" s="10" t="str">
        <f aca="false">IF($B21="","",IF(F21="","ID not found",IF(I21&lt;&gt;"Approved","WARNING: status is "&amp;I21,IF(D21="","Enter length / qty","OK"))))</f>
        <v/>
      </c>
    </row>
    <row r="22" customFormat="false" ht="15" hidden="false" customHeight="false" outlineLevel="0" collapsed="false">
      <c r="A22" s="9"/>
      <c r="B22" s="9"/>
      <c r="C22" s="9"/>
      <c r="D22" s="23"/>
      <c r="E22" s="10" t="str">
        <f aca="false">IF($B22="","",IF(F22="Others",IFERROR(INDEX(Other_Register!$S$5:$S$304,MATCH($B22,Other_Register!$A$5:$A$304,0)),""),IF(F22="",  "","m")))</f>
        <v/>
      </c>
      <c r="F22" s="10" t="str">
        <f aca="false">IF($B22="","",IF(ISNUMBER(MATCH($B22,Drain_Register!$A$5:$A$304,0)),"Drain",IF(ISNUMBER(MATCH($B22,RW_Register!$A$5:$A$304,0)),"Ret. Wall",IF(ISNUMBER(MATCH($B22,Other_Register!$A$5:$A$304,0)),"Others",""))))</f>
        <v/>
      </c>
      <c r="G22" s="10" t="str">
        <f aca="false">IF($B22="","",IFERROR(INDEX(Drain_Register!$B$5:$B$304,MATCH($B22,Drain_Register!$A$5:$A$304,0)),IFERROR(INDEX(RW_Register!$B$5:$B$304,MATCH($B22,RW_Register!$A$5:$A$304,0)),IFERROR(INDEX(Other_Register!$B$5:$B$304,MATCH($B22,Other_Register!$A$5:$A$304,0)),"ID not found - check spelling"))))</f>
        <v/>
      </c>
      <c r="H22" s="10" t="str">
        <f aca="false">IF($B22="","",IFERROR(INDEX(Drain_Register!$R$5:$R$304,MATCH($B22,Drain_Register!$A$5:$A$304,0)),IFERROR(INDEX(RW_Register!$X$5:$X$304,MATCH($B22,RW_Register!$A$5:$A$304,0)),IFERROR(INDEX(Other_Register!$M$5:$M$304,MATCH($B22,Other_Register!$A$5:$A$304,0)),""))))</f>
        <v/>
      </c>
      <c r="I22" s="10" t="str">
        <f aca="false">IF($B22="","",IFERROR(INDEX(Drain_Register!$S$5:$S$304,MATCH($B22,Drain_Register!$A$5:$A$304,0)),IFERROR(INDEX(RW_Register!$Y$5:$Y$304,MATCH($B22,RW_Register!$A$5:$A$304,0)),IFERROR(INDEX(Other_Register!$N$5:$N$304,MATCH($B22,Other_Register!$A$5:$A$304,0)),""))))</f>
        <v/>
      </c>
      <c r="J22" s="10" t="str">
        <f aca="false">IF($B22="","",IFERROR(INDEX(Drain_Register!$T$5:$T$304,MATCH($B22,Drain_Register!$A$5:$A$304,0)),IFERROR(INDEX(RW_Register!$Z$5:$Z$304,MATCH($B22,RW_Register!$A$5:$A$304,0)),IFERROR(INDEX(Other_Register!$O$5:$O$304,MATCH($B22,Other_Register!$A$5:$A$304,0)),""))))</f>
        <v/>
      </c>
      <c r="K22" s="10" t="str">
        <f aca="false">IF($B22="","",IFERROR(INDEX(Drain_Register!$U$5:$U$304,MATCH($B22,Drain_Register!$A$5:$A$304,0)),IFERROR(INDEX(RW_Register!$AA$5:$AA$304,MATCH($B22,RW_Register!$A$5:$A$304,0)),IFERROR(INDEX(Other_Register!$P$5:$P$304,MATCH($B22,Other_Register!$A$5:$A$304,0)),""))))</f>
        <v/>
      </c>
      <c r="L22" s="21" t="str">
        <f aca="false">IF(OR($B22="",$D22=""),"",$D22*IFERROR(INDEX(Drain_Register!$X$5:$X$304,MATCH($B22,Drain_Register!$A$5:$A$304,0)),IFERROR(INDEX(RW_Register!$AD$5:$AD$304,MATCH($B22,RW_Register!$A$5:$A$304,0)),IFERROR(INDEX(Other_Register!$T$5:$T$304,MATCH($B22,Other_Register!$A$5:$A$304,0)),0))))</f>
        <v/>
      </c>
      <c r="M22" s="22" t="str">
        <f aca="false">IF(OR($B22="",$D22=""),"",$D22*IFERROR(INDEX(Drain_Register!$Y$5:$Y$304,MATCH($B22,Drain_Register!$A$5:$A$304,0)),IFERROR(INDEX(RW_Register!$AE$5:$AE$304,MATCH($B22,RW_Register!$A$5:$A$304,0)),IFERROR(INDEX(Other_Register!$U$5:$U$304,MATCH($B22,Other_Register!$A$5:$A$304,0)),0)))/1000)</f>
        <v/>
      </c>
      <c r="N22" s="21" t="str">
        <f aca="false">IF(OR($B22="",$D22=""),"",$D22*IFERROR(INDEX(Drain_Register!$Z$5:$Z$304,MATCH($B22,Drain_Register!$A$5:$A$304,0)),IFERROR(INDEX(RW_Register!$AF$5:$AF$304,MATCH($B22,RW_Register!$A$5:$A$304,0)),IFERROR(INDEX(Other_Register!$V$5:$V$304,MATCH($B22,Other_Register!$A$5:$A$304,0)),0))))</f>
        <v/>
      </c>
      <c r="O22" s="21" t="str">
        <f aca="false">IF(OR($B22="",$D22=""),"",$D22*IFERROR(INDEX(Drain_Register!$AA$5:$AA$304,MATCH($B22,Drain_Register!$A$5:$A$304,0)),IFERROR(INDEX(RW_Register!$AG$5:$AG$304,MATCH($B22,RW_Register!$A$5:$A$304,0)),IFERROR(INDEX(Other_Register!$W$5:$W$304,MATCH($B22,Other_Register!$A$5:$A$304,0)),0))))</f>
        <v/>
      </c>
      <c r="P22" s="10" t="str">
        <f aca="false">IF($B22="","",IF(F22="","ID not found",IF(I22&lt;&gt;"Approved","WARNING: status is "&amp;I22,IF(D22="","Enter length / qty","OK"))))</f>
        <v/>
      </c>
    </row>
    <row r="23" customFormat="false" ht="15" hidden="false" customHeight="false" outlineLevel="0" collapsed="false">
      <c r="A23" s="9"/>
      <c r="B23" s="9"/>
      <c r="C23" s="9"/>
      <c r="D23" s="23"/>
      <c r="E23" s="10" t="str">
        <f aca="false">IF($B23="","",IF(F23="Others",IFERROR(INDEX(Other_Register!$S$5:$S$304,MATCH($B23,Other_Register!$A$5:$A$304,0)),""),IF(F23="",  "","m")))</f>
        <v/>
      </c>
      <c r="F23" s="10" t="str">
        <f aca="false">IF($B23="","",IF(ISNUMBER(MATCH($B23,Drain_Register!$A$5:$A$304,0)),"Drain",IF(ISNUMBER(MATCH($B23,RW_Register!$A$5:$A$304,0)),"Ret. Wall",IF(ISNUMBER(MATCH($B23,Other_Register!$A$5:$A$304,0)),"Others",""))))</f>
        <v/>
      </c>
      <c r="G23" s="10" t="str">
        <f aca="false">IF($B23="","",IFERROR(INDEX(Drain_Register!$B$5:$B$304,MATCH($B23,Drain_Register!$A$5:$A$304,0)),IFERROR(INDEX(RW_Register!$B$5:$B$304,MATCH($B23,RW_Register!$A$5:$A$304,0)),IFERROR(INDEX(Other_Register!$B$5:$B$304,MATCH($B23,Other_Register!$A$5:$A$304,0)),"ID not found - check spelling"))))</f>
        <v/>
      </c>
      <c r="H23" s="10" t="str">
        <f aca="false">IF($B23="","",IFERROR(INDEX(Drain_Register!$R$5:$R$304,MATCH($B23,Drain_Register!$A$5:$A$304,0)),IFERROR(INDEX(RW_Register!$X$5:$X$304,MATCH($B23,RW_Register!$A$5:$A$304,0)),IFERROR(INDEX(Other_Register!$M$5:$M$304,MATCH($B23,Other_Register!$A$5:$A$304,0)),""))))</f>
        <v/>
      </c>
      <c r="I23" s="10" t="str">
        <f aca="false">IF($B23="","",IFERROR(INDEX(Drain_Register!$S$5:$S$304,MATCH($B23,Drain_Register!$A$5:$A$304,0)),IFERROR(INDEX(RW_Register!$Y$5:$Y$304,MATCH($B23,RW_Register!$A$5:$A$304,0)),IFERROR(INDEX(Other_Register!$N$5:$N$304,MATCH($B23,Other_Register!$A$5:$A$304,0)),""))))</f>
        <v/>
      </c>
      <c r="J23" s="10" t="str">
        <f aca="false">IF($B23="","",IFERROR(INDEX(Drain_Register!$T$5:$T$304,MATCH($B23,Drain_Register!$A$5:$A$304,0)),IFERROR(INDEX(RW_Register!$Z$5:$Z$304,MATCH($B23,RW_Register!$A$5:$A$304,0)),IFERROR(INDEX(Other_Register!$O$5:$O$304,MATCH($B23,Other_Register!$A$5:$A$304,0)),""))))</f>
        <v/>
      </c>
      <c r="K23" s="10" t="str">
        <f aca="false">IF($B23="","",IFERROR(INDEX(Drain_Register!$U$5:$U$304,MATCH($B23,Drain_Register!$A$5:$A$304,0)),IFERROR(INDEX(RW_Register!$AA$5:$AA$304,MATCH($B23,RW_Register!$A$5:$A$304,0)),IFERROR(INDEX(Other_Register!$P$5:$P$304,MATCH($B23,Other_Register!$A$5:$A$304,0)),""))))</f>
        <v/>
      </c>
      <c r="L23" s="21" t="str">
        <f aca="false">IF(OR($B23="",$D23=""),"",$D23*IFERROR(INDEX(Drain_Register!$X$5:$X$304,MATCH($B23,Drain_Register!$A$5:$A$304,0)),IFERROR(INDEX(RW_Register!$AD$5:$AD$304,MATCH($B23,RW_Register!$A$5:$A$304,0)),IFERROR(INDEX(Other_Register!$T$5:$T$304,MATCH($B23,Other_Register!$A$5:$A$304,0)),0))))</f>
        <v/>
      </c>
      <c r="M23" s="22" t="str">
        <f aca="false">IF(OR($B23="",$D23=""),"",$D23*IFERROR(INDEX(Drain_Register!$Y$5:$Y$304,MATCH($B23,Drain_Register!$A$5:$A$304,0)),IFERROR(INDEX(RW_Register!$AE$5:$AE$304,MATCH($B23,RW_Register!$A$5:$A$304,0)),IFERROR(INDEX(Other_Register!$U$5:$U$304,MATCH($B23,Other_Register!$A$5:$A$304,0)),0)))/1000)</f>
        <v/>
      </c>
      <c r="N23" s="21" t="str">
        <f aca="false">IF(OR($B23="",$D23=""),"",$D23*IFERROR(INDEX(Drain_Register!$Z$5:$Z$304,MATCH($B23,Drain_Register!$A$5:$A$304,0)),IFERROR(INDEX(RW_Register!$AF$5:$AF$304,MATCH($B23,RW_Register!$A$5:$A$304,0)),IFERROR(INDEX(Other_Register!$V$5:$V$304,MATCH($B23,Other_Register!$A$5:$A$304,0)),0))))</f>
        <v/>
      </c>
      <c r="O23" s="21" t="str">
        <f aca="false">IF(OR($B23="",$D23=""),"",$D23*IFERROR(INDEX(Drain_Register!$AA$5:$AA$304,MATCH($B23,Drain_Register!$A$5:$A$304,0)),IFERROR(INDEX(RW_Register!$AG$5:$AG$304,MATCH($B23,RW_Register!$A$5:$A$304,0)),IFERROR(INDEX(Other_Register!$W$5:$W$304,MATCH($B23,Other_Register!$A$5:$A$304,0)),0))))</f>
        <v/>
      </c>
      <c r="P23" s="10" t="str">
        <f aca="false">IF($B23="","",IF(F23="","ID not found",IF(I23&lt;&gt;"Approved","WARNING: status is "&amp;I23,IF(D23="","Enter length / qty","OK"))))</f>
        <v/>
      </c>
    </row>
    <row r="24" customFormat="false" ht="15" hidden="false" customHeight="false" outlineLevel="0" collapsed="false">
      <c r="A24" s="9"/>
      <c r="B24" s="9"/>
      <c r="C24" s="9"/>
      <c r="D24" s="23"/>
      <c r="E24" s="10" t="str">
        <f aca="false">IF($B24="","",IF(F24="Others",IFERROR(INDEX(Other_Register!$S$5:$S$304,MATCH($B24,Other_Register!$A$5:$A$304,0)),""),IF(F24="",  "","m")))</f>
        <v/>
      </c>
      <c r="F24" s="10" t="str">
        <f aca="false">IF($B24="","",IF(ISNUMBER(MATCH($B24,Drain_Register!$A$5:$A$304,0)),"Drain",IF(ISNUMBER(MATCH($B24,RW_Register!$A$5:$A$304,0)),"Ret. Wall",IF(ISNUMBER(MATCH($B24,Other_Register!$A$5:$A$304,0)),"Others",""))))</f>
        <v/>
      </c>
      <c r="G24" s="10" t="str">
        <f aca="false">IF($B24="","",IFERROR(INDEX(Drain_Register!$B$5:$B$304,MATCH($B24,Drain_Register!$A$5:$A$304,0)),IFERROR(INDEX(RW_Register!$B$5:$B$304,MATCH($B24,RW_Register!$A$5:$A$304,0)),IFERROR(INDEX(Other_Register!$B$5:$B$304,MATCH($B24,Other_Register!$A$5:$A$304,0)),"ID not found - check spelling"))))</f>
        <v/>
      </c>
      <c r="H24" s="10" t="str">
        <f aca="false">IF($B24="","",IFERROR(INDEX(Drain_Register!$R$5:$R$304,MATCH($B24,Drain_Register!$A$5:$A$304,0)),IFERROR(INDEX(RW_Register!$X$5:$X$304,MATCH($B24,RW_Register!$A$5:$A$304,0)),IFERROR(INDEX(Other_Register!$M$5:$M$304,MATCH($B24,Other_Register!$A$5:$A$304,0)),""))))</f>
        <v/>
      </c>
      <c r="I24" s="10" t="str">
        <f aca="false">IF($B24="","",IFERROR(INDEX(Drain_Register!$S$5:$S$304,MATCH($B24,Drain_Register!$A$5:$A$304,0)),IFERROR(INDEX(RW_Register!$Y$5:$Y$304,MATCH($B24,RW_Register!$A$5:$A$304,0)),IFERROR(INDEX(Other_Register!$N$5:$N$304,MATCH($B24,Other_Register!$A$5:$A$304,0)),""))))</f>
        <v/>
      </c>
      <c r="J24" s="10" t="str">
        <f aca="false">IF($B24="","",IFERROR(INDEX(Drain_Register!$T$5:$T$304,MATCH($B24,Drain_Register!$A$5:$A$304,0)),IFERROR(INDEX(RW_Register!$Z$5:$Z$304,MATCH($B24,RW_Register!$A$5:$A$304,0)),IFERROR(INDEX(Other_Register!$O$5:$O$304,MATCH($B24,Other_Register!$A$5:$A$304,0)),""))))</f>
        <v/>
      </c>
      <c r="K24" s="10" t="str">
        <f aca="false">IF($B24="","",IFERROR(INDEX(Drain_Register!$U$5:$U$304,MATCH($B24,Drain_Register!$A$5:$A$304,0)),IFERROR(INDEX(RW_Register!$AA$5:$AA$304,MATCH($B24,RW_Register!$A$5:$A$304,0)),IFERROR(INDEX(Other_Register!$P$5:$P$304,MATCH($B24,Other_Register!$A$5:$A$304,0)),""))))</f>
        <v/>
      </c>
      <c r="L24" s="21" t="str">
        <f aca="false">IF(OR($B24="",$D24=""),"",$D24*IFERROR(INDEX(Drain_Register!$X$5:$X$304,MATCH($B24,Drain_Register!$A$5:$A$304,0)),IFERROR(INDEX(RW_Register!$AD$5:$AD$304,MATCH($B24,RW_Register!$A$5:$A$304,0)),IFERROR(INDEX(Other_Register!$T$5:$T$304,MATCH($B24,Other_Register!$A$5:$A$304,0)),0))))</f>
        <v/>
      </c>
      <c r="M24" s="22" t="str">
        <f aca="false">IF(OR($B24="",$D24=""),"",$D24*IFERROR(INDEX(Drain_Register!$Y$5:$Y$304,MATCH($B24,Drain_Register!$A$5:$A$304,0)),IFERROR(INDEX(RW_Register!$AE$5:$AE$304,MATCH($B24,RW_Register!$A$5:$A$304,0)),IFERROR(INDEX(Other_Register!$U$5:$U$304,MATCH($B24,Other_Register!$A$5:$A$304,0)),0)))/1000)</f>
        <v/>
      </c>
      <c r="N24" s="21" t="str">
        <f aca="false">IF(OR($B24="",$D24=""),"",$D24*IFERROR(INDEX(Drain_Register!$Z$5:$Z$304,MATCH($B24,Drain_Register!$A$5:$A$304,0)),IFERROR(INDEX(RW_Register!$AF$5:$AF$304,MATCH($B24,RW_Register!$A$5:$A$304,0)),IFERROR(INDEX(Other_Register!$V$5:$V$304,MATCH($B24,Other_Register!$A$5:$A$304,0)),0))))</f>
        <v/>
      </c>
      <c r="O24" s="21" t="str">
        <f aca="false">IF(OR($B24="",$D24=""),"",$D24*IFERROR(INDEX(Drain_Register!$AA$5:$AA$304,MATCH($B24,Drain_Register!$A$5:$A$304,0)),IFERROR(INDEX(RW_Register!$AG$5:$AG$304,MATCH($B24,RW_Register!$A$5:$A$304,0)),IFERROR(INDEX(Other_Register!$W$5:$W$304,MATCH($B24,Other_Register!$A$5:$A$304,0)),0))))</f>
        <v/>
      </c>
      <c r="P24" s="10" t="str">
        <f aca="false">IF($B24="","",IF(F24="","ID not found",IF(I24&lt;&gt;"Approved","WARNING: status is "&amp;I24,IF(D24="","Enter length / qty","OK"))))</f>
        <v/>
      </c>
    </row>
    <row r="25" customFormat="false" ht="15" hidden="false" customHeight="false" outlineLevel="0" collapsed="false">
      <c r="A25" s="9"/>
      <c r="B25" s="9"/>
      <c r="C25" s="9"/>
      <c r="D25" s="23"/>
      <c r="E25" s="10" t="str">
        <f aca="false">IF($B25="","",IF(F25="Others",IFERROR(INDEX(Other_Register!$S$5:$S$304,MATCH($B25,Other_Register!$A$5:$A$304,0)),""),IF(F25="",  "","m")))</f>
        <v/>
      </c>
      <c r="F25" s="10" t="str">
        <f aca="false">IF($B25="","",IF(ISNUMBER(MATCH($B25,Drain_Register!$A$5:$A$304,0)),"Drain",IF(ISNUMBER(MATCH($B25,RW_Register!$A$5:$A$304,0)),"Ret. Wall",IF(ISNUMBER(MATCH($B25,Other_Register!$A$5:$A$304,0)),"Others",""))))</f>
        <v/>
      </c>
      <c r="G25" s="10" t="str">
        <f aca="false">IF($B25="","",IFERROR(INDEX(Drain_Register!$B$5:$B$304,MATCH($B25,Drain_Register!$A$5:$A$304,0)),IFERROR(INDEX(RW_Register!$B$5:$B$304,MATCH($B25,RW_Register!$A$5:$A$304,0)),IFERROR(INDEX(Other_Register!$B$5:$B$304,MATCH($B25,Other_Register!$A$5:$A$304,0)),"ID not found - check spelling"))))</f>
        <v/>
      </c>
      <c r="H25" s="10" t="str">
        <f aca="false">IF($B25="","",IFERROR(INDEX(Drain_Register!$R$5:$R$304,MATCH($B25,Drain_Register!$A$5:$A$304,0)),IFERROR(INDEX(RW_Register!$X$5:$X$304,MATCH($B25,RW_Register!$A$5:$A$304,0)),IFERROR(INDEX(Other_Register!$M$5:$M$304,MATCH($B25,Other_Register!$A$5:$A$304,0)),""))))</f>
        <v/>
      </c>
      <c r="I25" s="10" t="str">
        <f aca="false">IF($B25="","",IFERROR(INDEX(Drain_Register!$S$5:$S$304,MATCH($B25,Drain_Register!$A$5:$A$304,0)),IFERROR(INDEX(RW_Register!$Y$5:$Y$304,MATCH($B25,RW_Register!$A$5:$A$304,0)),IFERROR(INDEX(Other_Register!$N$5:$N$304,MATCH($B25,Other_Register!$A$5:$A$304,0)),""))))</f>
        <v/>
      </c>
      <c r="J25" s="10" t="str">
        <f aca="false">IF($B25="","",IFERROR(INDEX(Drain_Register!$T$5:$T$304,MATCH($B25,Drain_Register!$A$5:$A$304,0)),IFERROR(INDEX(RW_Register!$Z$5:$Z$304,MATCH($B25,RW_Register!$A$5:$A$304,0)),IFERROR(INDEX(Other_Register!$O$5:$O$304,MATCH($B25,Other_Register!$A$5:$A$304,0)),""))))</f>
        <v/>
      </c>
      <c r="K25" s="10" t="str">
        <f aca="false">IF($B25="","",IFERROR(INDEX(Drain_Register!$U$5:$U$304,MATCH($B25,Drain_Register!$A$5:$A$304,0)),IFERROR(INDEX(RW_Register!$AA$5:$AA$304,MATCH($B25,RW_Register!$A$5:$A$304,0)),IFERROR(INDEX(Other_Register!$P$5:$P$304,MATCH($B25,Other_Register!$A$5:$A$304,0)),""))))</f>
        <v/>
      </c>
      <c r="L25" s="21" t="str">
        <f aca="false">IF(OR($B25="",$D25=""),"",$D25*IFERROR(INDEX(Drain_Register!$X$5:$X$304,MATCH($B25,Drain_Register!$A$5:$A$304,0)),IFERROR(INDEX(RW_Register!$AD$5:$AD$304,MATCH($B25,RW_Register!$A$5:$A$304,0)),IFERROR(INDEX(Other_Register!$T$5:$T$304,MATCH($B25,Other_Register!$A$5:$A$304,0)),0))))</f>
        <v/>
      </c>
      <c r="M25" s="22" t="str">
        <f aca="false">IF(OR($B25="",$D25=""),"",$D25*IFERROR(INDEX(Drain_Register!$Y$5:$Y$304,MATCH($B25,Drain_Register!$A$5:$A$304,0)),IFERROR(INDEX(RW_Register!$AE$5:$AE$304,MATCH($B25,RW_Register!$A$5:$A$304,0)),IFERROR(INDEX(Other_Register!$U$5:$U$304,MATCH($B25,Other_Register!$A$5:$A$304,0)),0)))/1000)</f>
        <v/>
      </c>
      <c r="N25" s="21" t="str">
        <f aca="false">IF(OR($B25="",$D25=""),"",$D25*IFERROR(INDEX(Drain_Register!$Z$5:$Z$304,MATCH($B25,Drain_Register!$A$5:$A$304,0)),IFERROR(INDEX(RW_Register!$AF$5:$AF$304,MATCH($B25,RW_Register!$A$5:$A$304,0)),IFERROR(INDEX(Other_Register!$V$5:$V$304,MATCH($B25,Other_Register!$A$5:$A$304,0)),0))))</f>
        <v/>
      </c>
      <c r="O25" s="21" t="str">
        <f aca="false">IF(OR($B25="",$D25=""),"",$D25*IFERROR(INDEX(Drain_Register!$AA$5:$AA$304,MATCH($B25,Drain_Register!$A$5:$A$304,0)),IFERROR(INDEX(RW_Register!$AG$5:$AG$304,MATCH($B25,RW_Register!$A$5:$A$304,0)),IFERROR(INDEX(Other_Register!$W$5:$W$304,MATCH($B25,Other_Register!$A$5:$A$304,0)),0))))</f>
        <v/>
      </c>
      <c r="P25" s="10" t="str">
        <f aca="false">IF($B25="","",IF(F25="","ID not found",IF(I25&lt;&gt;"Approved","WARNING: status is "&amp;I25,IF(D25="","Enter length / qty","OK"))))</f>
        <v/>
      </c>
    </row>
    <row r="26" customFormat="false" ht="15" hidden="false" customHeight="false" outlineLevel="0" collapsed="false">
      <c r="A26" s="9"/>
      <c r="B26" s="9"/>
      <c r="C26" s="9"/>
      <c r="D26" s="23"/>
      <c r="E26" s="10" t="str">
        <f aca="false">IF($B26="","",IF(F26="Others",IFERROR(INDEX(Other_Register!$S$5:$S$304,MATCH($B26,Other_Register!$A$5:$A$304,0)),""),IF(F26="",  "","m")))</f>
        <v/>
      </c>
      <c r="F26" s="10" t="str">
        <f aca="false">IF($B26="","",IF(ISNUMBER(MATCH($B26,Drain_Register!$A$5:$A$304,0)),"Drain",IF(ISNUMBER(MATCH($B26,RW_Register!$A$5:$A$304,0)),"Ret. Wall",IF(ISNUMBER(MATCH($B26,Other_Register!$A$5:$A$304,0)),"Others",""))))</f>
        <v/>
      </c>
      <c r="G26" s="10" t="str">
        <f aca="false">IF($B26="","",IFERROR(INDEX(Drain_Register!$B$5:$B$304,MATCH($B26,Drain_Register!$A$5:$A$304,0)),IFERROR(INDEX(RW_Register!$B$5:$B$304,MATCH($B26,RW_Register!$A$5:$A$304,0)),IFERROR(INDEX(Other_Register!$B$5:$B$304,MATCH($B26,Other_Register!$A$5:$A$304,0)),"ID not found - check spelling"))))</f>
        <v/>
      </c>
      <c r="H26" s="10" t="str">
        <f aca="false">IF($B26="","",IFERROR(INDEX(Drain_Register!$R$5:$R$304,MATCH($B26,Drain_Register!$A$5:$A$304,0)),IFERROR(INDEX(RW_Register!$X$5:$X$304,MATCH($B26,RW_Register!$A$5:$A$304,0)),IFERROR(INDEX(Other_Register!$M$5:$M$304,MATCH($B26,Other_Register!$A$5:$A$304,0)),""))))</f>
        <v/>
      </c>
      <c r="I26" s="10" t="str">
        <f aca="false">IF($B26="","",IFERROR(INDEX(Drain_Register!$S$5:$S$304,MATCH($B26,Drain_Register!$A$5:$A$304,0)),IFERROR(INDEX(RW_Register!$Y$5:$Y$304,MATCH($B26,RW_Register!$A$5:$A$304,0)),IFERROR(INDEX(Other_Register!$N$5:$N$304,MATCH($B26,Other_Register!$A$5:$A$304,0)),""))))</f>
        <v/>
      </c>
      <c r="J26" s="10" t="str">
        <f aca="false">IF($B26="","",IFERROR(INDEX(Drain_Register!$T$5:$T$304,MATCH($B26,Drain_Register!$A$5:$A$304,0)),IFERROR(INDEX(RW_Register!$Z$5:$Z$304,MATCH($B26,RW_Register!$A$5:$A$304,0)),IFERROR(INDEX(Other_Register!$O$5:$O$304,MATCH($B26,Other_Register!$A$5:$A$304,0)),""))))</f>
        <v/>
      </c>
      <c r="K26" s="10" t="str">
        <f aca="false">IF($B26="","",IFERROR(INDEX(Drain_Register!$U$5:$U$304,MATCH($B26,Drain_Register!$A$5:$A$304,0)),IFERROR(INDEX(RW_Register!$AA$5:$AA$304,MATCH($B26,RW_Register!$A$5:$A$304,0)),IFERROR(INDEX(Other_Register!$P$5:$P$304,MATCH($B26,Other_Register!$A$5:$A$304,0)),""))))</f>
        <v/>
      </c>
      <c r="L26" s="21" t="str">
        <f aca="false">IF(OR($B26="",$D26=""),"",$D26*IFERROR(INDEX(Drain_Register!$X$5:$X$304,MATCH($B26,Drain_Register!$A$5:$A$304,0)),IFERROR(INDEX(RW_Register!$AD$5:$AD$304,MATCH($B26,RW_Register!$A$5:$A$304,0)),IFERROR(INDEX(Other_Register!$T$5:$T$304,MATCH($B26,Other_Register!$A$5:$A$304,0)),0))))</f>
        <v/>
      </c>
      <c r="M26" s="22" t="str">
        <f aca="false">IF(OR($B26="",$D26=""),"",$D26*IFERROR(INDEX(Drain_Register!$Y$5:$Y$304,MATCH($B26,Drain_Register!$A$5:$A$304,0)),IFERROR(INDEX(RW_Register!$AE$5:$AE$304,MATCH($B26,RW_Register!$A$5:$A$304,0)),IFERROR(INDEX(Other_Register!$U$5:$U$304,MATCH($B26,Other_Register!$A$5:$A$304,0)),0)))/1000)</f>
        <v/>
      </c>
      <c r="N26" s="21" t="str">
        <f aca="false">IF(OR($B26="",$D26=""),"",$D26*IFERROR(INDEX(Drain_Register!$Z$5:$Z$304,MATCH($B26,Drain_Register!$A$5:$A$304,0)),IFERROR(INDEX(RW_Register!$AF$5:$AF$304,MATCH($B26,RW_Register!$A$5:$A$304,0)),IFERROR(INDEX(Other_Register!$V$5:$V$304,MATCH($B26,Other_Register!$A$5:$A$304,0)),0))))</f>
        <v/>
      </c>
      <c r="O26" s="21" t="str">
        <f aca="false">IF(OR($B26="",$D26=""),"",$D26*IFERROR(INDEX(Drain_Register!$AA$5:$AA$304,MATCH($B26,Drain_Register!$A$5:$A$304,0)),IFERROR(INDEX(RW_Register!$AG$5:$AG$304,MATCH($B26,RW_Register!$A$5:$A$304,0)),IFERROR(INDEX(Other_Register!$W$5:$W$304,MATCH($B26,Other_Register!$A$5:$A$304,0)),0))))</f>
        <v/>
      </c>
      <c r="P26" s="10" t="str">
        <f aca="false">IF($B26="","",IF(F26="","ID not found",IF(I26&lt;&gt;"Approved","WARNING: status is "&amp;I26,IF(D26="","Enter length / qty","OK"))))</f>
        <v/>
      </c>
    </row>
    <row r="27" customFormat="false" ht="15" hidden="false" customHeight="false" outlineLevel="0" collapsed="false">
      <c r="A27" s="9"/>
      <c r="B27" s="9"/>
      <c r="C27" s="9"/>
      <c r="D27" s="23"/>
      <c r="E27" s="10" t="str">
        <f aca="false">IF($B27="","",IF(F27="Others",IFERROR(INDEX(Other_Register!$S$5:$S$304,MATCH($B27,Other_Register!$A$5:$A$304,0)),""),IF(F27="",  "","m")))</f>
        <v/>
      </c>
      <c r="F27" s="10" t="str">
        <f aca="false">IF($B27="","",IF(ISNUMBER(MATCH($B27,Drain_Register!$A$5:$A$304,0)),"Drain",IF(ISNUMBER(MATCH($B27,RW_Register!$A$5:$A$304,0)),"Ret. Wall",IF(ISNUMBER(MATCH($B27,Other_Register!$A$5:$A$304,0)),"Others",""))))</f>
        <v/>
      </c>
      <c r="G27" s="10" t="str">
        <f aca="false">IF($B27="","",IFERROR(INDEX(Drain_Register!$B$5:$B$304,MATCH($B27,Drain_Register!$A$5:$A$304,0)),IFERROR(INDEX(RW_Register!$B$5:$B$304,MATCH($B27,RW_Register!$A$5:$A$304,0)),IFERROR(INDEX(Other_Register!$B$5:$B$304,MATCH($B27,Other_Register!$A$5:$A$304,0)),"ID not found - check spelling"))))</f>
        <v/>
      </c>
      <c r="H27" s="10" t="str">
        <f aca="false">IF($B27="","",IFERROR(INDEX(Drain_Register!$R$5:$R$304,MATCH($B27,Drain_Register!$A$5:$A$304,0)),IFERROR(INDEX(RW_Register!$X$5:$X$304,MATCH($B27,RW_Register!$A$5:$A$304,0)),IFERROR(INDEX(Other_Register!$M$5:$M$304,MATCH($B27,Other_Register!$A$5:$A$304,0)),""))))</f>
        <v/>
      </c>
      <c r="I27" s="10" t="str">
        <f aca="false">IF($B27="","",IFERROR(INDEX(Drain_Register!$S$5:$S$304,MATCH($B27,Drain_Register!$A$5:$A$304,0)),IFERROR(INDEX(RW_Register!$Y$5:$Y$304,MATCH($B27,RW_Register!$A$5:$A$304,0)),IFERROR(INDEX(Other_Register!$N$5:$N$304,MATCH($B27,Other_Register!$A$5:$A$304,0)),""))))</f>
        <v/>
      </c>
      <c r="J27" s="10" t="str">
        <f aca="false">IF($B27="","",IFERROR(INDEX(Drain_Register!$T$5:$T$304,MATCH($B27,Drain_Register!$A$5:$A$304,0)),IFERROR(INDEX(RW_Register!$Z$5:$Z$304,MATCH($B27,RW_Register!$A$5:$A$304,0)),IFERROR(INDEX(Other_Register!$O$5:$O$304,MATCH($B27,Other_Register!$A$5:$A$304,0)),""))))</f>
        <v/>
      </c>
      <c r="K27" s="10" t="str">
        <f aca="false">IF($B27="","",IFERROR(INDEX(Drain_Register!$U$5:$U$304,MATCH($B27,Drain_Register!$A$5:$A$304,0)),IFERROR(INDEX(RW_Register!$AA$5:$AA$304,MATCH($B27,RW_Register!$A$5:$A$304,0)),IFERROR(INDEX(Other_Register!$P$5:$P$304,MATCH($B27,Other_Register!$A$5:$A$304,0)),""))))</f>
        <v/>
      </c>
      <c r="L27" s="21" t="str">
        <f aca="false">IF(OR($B27="",$D27=""),"",$D27*IFERROR(INDEX(Drain_Register!$X$5:$X$304,MATCH($B27,Drain_Register!$A$5:$A$304,0)),IFERROR(INDEX(RW_Register!$AD$5:$AD$304,MATCH($B27,RW_Register!$A$5:$A$304,0)),IFERROR(INDEX(Other_Register!$T$5:$T$304,MATCH($B27,Other_Register!$A$5:$A$304,0)),0))))</f>
        <v/>
      </c>
      <c r="M27" s="22" t="str">
        <f aca="false">IF(OR($B27="",$D27=""),"",$D27*IFERROR(INDEX(Drain_Register!$Y$5:$Y$304,MATCH($B27,Drain_Register!$A$5:$A$304,0)),IFERROR(INDEX(RW_Register!$AE$5:$AE$304,MATCH($B27,RW_Register!$A$5:$A$304,0)),IFERROR(INDEX(Other_Register!$U$5:$U$304,MATCH($B27,Other_Register!$A$5:$A$304,0)),0)))/1000)</f>
        <v/>
      </c>
      <c r="N27" s="21" t="str">
        <f aca="false">IF(OR($B27="",$D27=""),"",$D27*IFERROR(INDEX(Drain_Register!$Z$5:$Z$304,MATCH($B27,Drain_Register!$A$5:$A$304,0)),IFERROR(INDEX(RW_Register!$AF$5:$AF$304,MATCH($B27,RW_Register!$A$5:$A$304,0)),IFERROR(INDEX(Other_Register!$V$5:$V$304,MATCH($B27,Other_Register!$A$5:$A$304,0)),0))))</f>
        <v/>
      </c>
      <c r="O27" s="21" t="str">
        <f aca="false">IF(OR($B27="",$D27=""),"",$D27*IFERROR(INDEX(Drain_Register!$AA$5:$AA$304,MATCH($B27,Drain_Register!$A$5:$A$304,0)),IFERROR(INDEX(RW_Register!$AG$5:$AG$304,MATCH($B27,RW_Register!$A$5:$A$304,0)),IFERROR(INDEX(Other_Register!$W$5:$W$304,MATCH($B27,Other_Register!$A$5:$A$304,0)),0))))</f>
        <v/>
      </c>
      <c r="P27" s="10" t="str">
        <f aca="false">IF($B27="","",IF(F27="","ID not found",IF(I27&lt;&gt;"Approved","WARNING: status is "&amp;I27,IF(D27="","Enter length / qty","OK"))))</f>
        <v/>
      </c>
    </row>
    <row r="28" customFormat="false" ht="15" hidden="false" customHeight="false" outlineLevel="0" collapsed="false">
      <c r="A28" s="9"/>
      <c r="B28" s="9"/>
      <c r="C28" s="9"/>
      <c r="D28" s="23"/>
      <c r="E28" s="10" t="str">
        <f aca="false">IF($B28="","",IF(F28="Others",IFERROR(INDEX(Other_Register!$S$5:$S$304,MATCH($B28,Other_Register!$A$5:$A$304,0)),""),IF(F28="",  "","m")))</f>
        <v/>
      </c>
      <c r="F28" s="10" t="str">
        <f aca="false">IF($B28="","",IF(ISNUMBER(MATCH($B28,Drain_Register!$A$5:$A$304,0)),"Drain",IF(ISNUMBER(MATCH($B28,RW_Register!$A$5:$A$304,0)),"Ret. Wall",IF(ISNUMBER(MATCH($B28,Other_Register!$A$5:$A$304,0)),"Others",""))))</f>
        <v/>
      </c>
      <c r="G28" s="10" t="str">
        <f aca="false">IF($B28="","",IFERROR(INDEX(Drain_Register!$B$5:$B$304,MATCH($B28,Drain_Register!$A$5:$A$304,0)),IFERROR(INDEX(RW_Register!$B$5:$B$304,MATCH($B28,RW_Register!$A$5:$A$304,0)),IFERROR(INDEX(Other_Register!$B$5:$B$304,MATCH($B28,Other_Register!$A$5:$A$304,0)),"ID not found - check spelling"))))</f>
        <v/>
      </c>
      <c r="H28" s="10" t="str">
        <f aca="false">IF($B28="","",IFERROR(INDEX(Drain_Register!$R$5:$R$304,MATCH($B28,Drain_Register!$A$5:$A$304,0)),IFERROR(INDEX(RW_Register!$X$5:$X$304,MATCH($B28,RW_Register!$A$5:$A$304,0)),IFERROR(INDEX(Other_Register!$M$5:$M$304,MATCH($B28,Other_Register!$A$5:$A$304,0)),""))))</f>
        <v/>
      </c>
      <c r="I28" s="10" t="str">
        <f aca="false">IF($B28="","",IFERROR(INDEX(Drain_Register!$S$5:$S$304,MATCH($B28,Drain_Register!$A$5:$A$304,0)),IFERROR(INDEX(RW_Register!$Y$5:$Y$304,MATCH($B28,RW_Register!$A$5:$A$304,0)),IFERROR(INDEX(Other_Register!$N$5:$N$304,MATCH($B28,Other_Register!$A$5:$A$304,0)),""))))</f>
        <v/>
      </c>
      <c r="J28" s="10" t="str">
        <f aca="false">IF($B28="","",IFERROR(INDEX(Drain_Register!$T$5:$T$304,MATCH($B28,Drain_Register!$A$5:$A$304,0)),IFERROR(INDEX(RW_Register!$Z$5:$Z$304,MATCH($B28,RW_Register!$A$5:$A$304,0)),IFERROR(INDEX(Other_Register!$O$5:$O$304,MATCH($B28,Other_Register!$A$5:$A$304,0)),""))))</f>
        <v/>
      </c>
      <c r="K28" s="10" t="str">
        <f aca="false">IF($B28="","",IFERROR(INDEX(Drain_Register!$U$5:$U$304,MATCH($B28,Drain_Register!$A$5:$A$304,0)),IFERROR(INDEX(RW_Register!$AA$5:$AA$304,MATCH($B28,RW_Register!$A$5:$A$304,0)),IFERROR(INDEX(Other_Register!$P$5:$P$304,MATCH($B28,Other_Register!$A$5:$A$304,0)),""))))</f>
        <v/>
      </c>
      <c r="L28" s="21" t="str">
        <f aca="false">IF(OR($B28="",$D28=""),"",$D28*IFERROR(INDEX(Drain_Register!$X$5:$X$304,MATCH($B28,Drain_Register!$A$5:$A$304,0)),IFERROR(INDEX(RW_Register!$AD$5:$AD$304,MATCH($B28,RW_Register!$A$5:$A$304,0)),IFERROR(INDEX(Other_Register!$T$5:$T$304,MATCH($B28,Other_Register!$A$5:$A$304,0)),0))))</f>
        <v/>
      </c>
      <c r="M28" s="22" t="str">
        <f aca="false">IF(OR($B28="",$D28=""),"",$D28*IFERROR(INDEX(Drain_Register!$Y$5:$Y$304,MATCH($B28,Drain_Register!$A$5:$A$304,0)),IFERROR(INDEX(RW_Register!$AE$5:$AE$304,MATCH($B28,RW_Register!$A$5:$A$304,0)),IFERROR(INDEX(Other_Register!$U$5:$U$304,MATCH($B28,Other_Register!$A$5:$A$304,0)),0)))/1000)</f>
        <v/>
      </c>
      <c r="N28" s="21" t="str">
        <f aca="false">IF(OR($B28="",$D28=""),"",$D28*IFERROR(INDEX(Drain_Register!$Z$5:$Z$304,MATCH($B28,Drain_Register!$A$5:$A$304,0)),IFERROR(INDEX(RW_Register!$AF$5:$AF$304,MATCH($B28,RW_Register!$A$5:$A$304,0)),IFERROR(INDEX(Other_Register!$V$5:$V$304,MATCH($B28,Other_Register!$A$5:$A$304,0)),0))))</f>
        <v/>
      </c>
      <c r="O28" s="21" t="str">
        <f aca="false">IF(OR($B28="",$D28=""),"",$D28*IFERROR(INDEX(Drain_Register!$AA$5:$AA$304,MATCH($B28,Drain_Register!$A$5:$A$304,0)),IFERROR(INDEX(RW_Register!$AG$5:$AG$304,MATCH($B28,RW_Register!$A$5:$A$304,0)),IFERROR(INDEX(Other_Register!$W$5:$W$304,MATCH($B28,Other_Register!$A$5:$A$304,0)),0))))</f>
        <v/>
      </c>
      <c r="P28" s="10" t="str">
        <f aca="false">IF($B28="","",IF(F28="","ID not found",IF(I28&lt;&gt;"Approved","WARNING: status is "&amp;I28,IF(D28="","Enter length / qty","OK"))))</f>
        <v/>
      </c>
    </row>
    <row r="29" customFormat="false" ht="15" hidden="false" customHeight="false" outlineLevel="0" collapsed="false">
      <c r="A29" s="9"/>
      <c r="B29" s="9"/>
      <c r="C29" s="9"/>
      <c r="D29" s="23"/>
      <c r="E29" s="10" t="str">
        <f aca="false">IF($B29="","",IF(F29="Others",IFERROR(INDEX(Other_Register!$S$5:$S$304,MATCH($B29,Other_Register!$A$5:$A$304,0)),""),IF(F29="",  "","m")))</f>
        <v/>
      </c>
      <c r="F29" s="10" t="str">
        <f aca="false">IF($B29="","",IF(ISNUMBER(MATCH($B29,Drain_Register!$A$5:$A$304,0)),"Drain",IF(ISNUMBER(MATCH($B29,RW_Register!$A$5:$A$304,0)),"Ret. Wall",IF(ISNUMBER(MATCH($B29,Other_Register!$A$5:$A$304,0)),"Others",""))))</f>
        <v/>
      </c>
      <c r="G29" s="10" t="str">
        <f aca="false">IF($B29="","",IFERROR(INDEX(Drain_Register!$B$5:$B$304,MATCH($B29,Drain_Register!$A$5:$A$304,0)),IFERROR(INDEX(RW_Register!$B$5:$B$304,MATCH($B29,RW_Register!$A$5:$A$304,0)),IFERROR(INDEX(Other_Register!$B$5:$B$304,MATCH($B29,Other_Register!$A$5:$A$304,0)),"ID not found - check spelling"))))</f>
        <v/>
      </c>
      <c r="H29" s="10" t="str">
        <f aca="false">IF($B29="","",IFERROR(INDEX(Drain_Register!$R$5:$R$304,MATCH($B29,Drain_Register!$A$5:$A$304,0)),IFERROR(INDEX(RW_Register!$X$5:$X$304,MATCH($B29,RW_Register!$A$5:$A$304,0)),IFERROR(INDEX(Other_Register!$M$5:$M$304,MATCH($B29,Other_Register!$A$5:$A$304,0)),""))))</f>
        <v/>
      </c>
      <c r="I29" s="10" t="str">
        <f aca="false">IF($B29="","",IFERROR(INDEX(Drain_Register!$S$5:$S$304,MATCH($B29,Drain_Register!$A$5:$A$304,0)),IFERROR(INDEX(RW_Register!$Y$5:$Y$304,MATCH($B29,RW_Register!$A$5:$A$304,0)),IFERROR(INDEX(Other_Register!$N$5:$N$304,MATCH($B29,Other_Register!$A$5:$A$304,0)),""))))</f>
        <v/>
      </c>
      <c r="J29" s="10" t="str">
        <f aca="false">IF($B29="","",IFERROR(INDEX(Drain_Register!$T$5:$T$304,MATCH($B29,Drain_Register!$A$5:$A$304,0)),IFERROR(INDEX(RW_Register!$Z$5:$Z$304,MATCH($B29,RW_Register!$A$5:$A$304,0)),IFERROR(INDEX(Other_Register!$O$5:$O$304,MATCH($B29,Other_Register!$A$5:$A$304,0)),""))))</f>
        <v/>
      </c>
      <c r="K29" s="10" t="str">
        <f aca="false">IF($B29="","",IFERROR(INDEX(Drain_Register!$U$5:$U$304,MATCH($B29,Drain_Register!$A$5:$A$304,0)),IFERROR(INDEX(RW_Register!$AA$5:$AA$304,MATCH($B29,RW_Register!$A$5:$A$304,0)),IFERROR(INDEX(Other_Register!$P$5:$P$304,MATCH($B29,Other_Register!$A$5:$A$304,0)),""))))</f>
        <v/>
      </c>
      <c r="L29" s="21" t="str">
        <f aca="false">IF(OR($B29="",$D29=""),"",$D29*IFERROR(INDEX(Drain_Register!$X$5:$X$304,MATCH($B29,Drain_Register!$A$5:$A$304,0)),IFERROR(INDEX(RW_Register!$AD$5:$AD$304,MATCH($B29,RW_Register!$A$5:$A$304,0)),IFERROR(INDEX(Other_Register!$T$5:$T$304,MATCH($B29,Other_Register!$A$5:$A$304,0)),0))))</f>
        <v/>
      </c>
      <c r="M29" s="22" t="str">
        <f aca="false">IF(OR($B29="",$D29=""),"",$D29*IFERROR(INDEX(Drain_Register!$Y$5:$Y$304,MATCH($B29,Drain_Register!$A$5:$A$304,0)),IFERROR(INDEX(RW_Register!$AE$5:$AE$304,MATCH($B29,RW_Register!$A$5:$A$304,0)),IFERROR(INDEX(Other_Register!$U$5:$U$304,MATCH($B29,Other_Register!$A$5:$A$304,0)),0)))/1000)</f>
        <v/>
      </c>
      <c r="N29" s="21" t="str">
        <f aca="false">IF(OR($B29="",$D29=""),"",$D29*IFERROR(INDEX(Drain_Register!$Z$5:$Z$304,MATCH($B29,Drain_Register!$A$5:$A$304,0)),IFERROR(INDEX(RW_Register!$AF$5:$AF$304,MATCH($B29,RW_Register!$A$5:$A$304,0)),IFERROR(INDEX(Other_Register!$V$5:$V$304,MATCH($B29,Other_Register!$A$5:$A$304,0)),0))))</f>
        <v/>
      </c>
      <c r="O29" s="21" t="str">
        <f aca="false">IF(OR($B29="",$D29=""),"",$D29*IFERROR(INDEX(Drain_Register!$AA$5:$AA$304,MATCH($B29,Drain_Register!$A$5:$A$304,0)),IFERROR(INDEX(RW_Register!$AG$5:$AG$304,MATCH($B29,RW_Register!$A$5:$A$304,0)),IFERROR(INDEX(Other_Register!$W$5:$W$304,MATCH($B29,Other_Register!$A$5:$A$304,0)),0))))</f>
        <v/>
      </c>
      <c r="P29" s="10" t="str">
        <f aca="false">IF($B29="","",IF(F29="","ID not found",IF(I29&lt;&gt;"Approved","WARNING: status is "&amp;I29,IF(D29="","Enter length / qty","OK"))))</f>
        <v/>
      </c>
    </row>
    <row r="30" customFormat="false" ht="15" hidden="false" customHeight="false" outlineLevel="0" collapsed="false">
      <c r="A30" s="9"/>
      <c r="B30" s="9"/>
      <c r="C30" s="9"/>
      <c r="D30" s="23"/>
      <c r="E30" s="10" t="str">
        <f aca="false">IF($B30="","",IF(F30="Others",IFERROR(INDEX(Other_Register!$S$5:$S$304,MATCH($B30,Other_Register!$A$5:$A$304,0)),""),IF(F30="",  "","m")))</f>
        <v/>
      </c>
      <c r="F30" s="10" t="str">
        <f aca="false">IF($B30="","",IF(ISNUMBER(MATCH($B30,Drain_Register!$A$5:$A$304,0)),"Drain",IF(ISNUMBER(MATCH($B30,RW_Register!$A$5:$A$304,0)),"Ret. Wall",IF(ISNUMBER(MATCH($B30,Other_Register!$A$5:$A$304,0)),"Others",""))))</f>
        <v/>
      </c>
      <c r="G30" s="10" t="str">
        <f aca="false">IF($B30="","",IFERROR(INDEX(Drain_Register!$B$5:$B$304,MATCH($B30,Drain_Register!$A$5:$A$304,0)),IFERROR(INDEX(RW_Register!$B$5:$B$304,MATCH($B30,RW_Register!$A$5:$A$304,0)),IFERROR(INDEX(Other_Register!$B$5:$B$304,MATCH($B30,Other_Register!$A$5:$A$304,0)),"ID not found - check spelling"))))</f>
        <v/>
      </c>
      <c r="H30" s="10" t="str">
        <f aca="false">IF($B30="","",IFERROR(INDEX(Drain_Register!$R$5:$R$304,MATCH($B30,Drain_Register!$A$5:$A$304,0)),IFERROR(INDEX(RW_Register!$X$5:$X$304,MATCH($B30,RW_Register!$A$5:$A$304,0)),IFERROR(INDEX(Other_Register!$M$5:$M$304,MATCH($B30,Other_Register!$A$5:$A$304,0)),""))))</f>
        <v/>
      </c>
      <c r="I30" s="10" t="str">
        <f aca="false">IF($B30="","",IFERROR(INDEX(Drain_Register!$S$5:$S$304,MATCH($B30,Drain_Register!$A$5:$A$304,0)),IFERROR(INDEX(RW_Register!$Y$5:$Y$304,MATCH($B30,RW_Register!$A$5:$A$304,0)),IFERROR(INDEX(Other_Register!$N$5:$N$304,MATCH($B30,Other_Register!$A$5:$A$304,0)),""))))</f>
        <v/>
      </c>
      <c r="J30" s="10" t="str">
        <f aca="false">IF($B30="","",IFERROR(INDEX(Drain_Register!$T$5:$T$304,MATCH($B30,Drain_Register!$A$5:$A$304,0)),IFERROR(INDEX(RW_Register!$Z$5:$Z$304,MATCH($B30,RW_Register!$A$5:$A$304,0)),IFERROR(INDEX(Other_Register!$O$5:$O$304,MATCH($B30,Other_Register!$A$5:$A$304,0)),""))))</f>
        <v/>
      </c>
      <c r="K30" s="10" t="str">
        <f aca="false">IF($B30="","",IFERROR(INDEX(Drain_Register!$U$5:$U$304,MATCH($B30,Drain_Register!$A$5:$A$304,0)),IFERROR(INDEX(RW_Register!$AA$5:$AA$304,MATCH($B30,RW_Register!$A$5:$A$304,0)),IFERROR(INDEX(Other_Register!$P$5:$P$304,MATCH($B30,Other_Register!$A$5:$A$304,0)),""))))</f>
        <v/>
      </c>
      <c r="L30" s="21" t="str">
        <f aca="false">IF(OR($B30="",$D30=""),"",$D30*IFERROR(INDEX(Drain_Register!$X$5:$X$304,MATCH($B30,Drain_Register!$A$5:$A$304,0)),IFERROR(INDEX(RW_Register!$AD$5:$AD$304,MATCH($B30,RW_Register!$A$5:$A$304,0)),IFERROR(INDEX(Other_Register!$T$5:$T$304,MATCH($B30,Other_Register!$A$5:$A$304,0)),0))))</f>
        <v/>
      </c>
      <c r="M30" s="22" t="str">
        <f aca="false">IF(OR($B30="",$D30=""),"",$D30*IFERROR(INDEX(Drain_Register!$Y$5:$Y$304,MATCH($B30,Drain_Register!$A$5:$A$304,0)),IFERROR(INDEX(RW_Register!$AE$5:$AE$304,MATCH($B30,RW_Register!$A$5:$A$304,0)),IFERROR(INDEX(Other_Register!$U$5:$U$304,MATCH($B30,Other_Register!$A$5:$A$304,0)),0)))/1000)</f>
        <v/>
      </c>
      <c r="N30" s="21" t="str">
        <f aca="false">IF(OR($B30="",$D30=""),"",$D30*IFERROR(INDEX(Drain_Register!$Z$5:$Z$304,MATCH($B30,Drain_Register!$A$5:$A$304,0)),IFERROR(INDEX(RW_Register!$AF$5:$AF$304,MATCH($B30,RW_Register!$A$5:$A$304,0)),IFERROR(INDEX(Other_Register!$V$5:$V$304,MATCH($B30,Other_Register!$A$5:$A$304,0)),0))))</f>
        <v/>
      </c>
      <c r="O30" s="21" t="str">
        <f aca="false">IF(OR($B30="",$D30=""),"",$D30*IFERROR(INDEX(Drain_Register!$AA$5:$AA$304,MATCH($B30,Drain_Register!$A$5:$A$304,0)),IFERROR(INDEX(RW_Register!$AG$5:$AG$304,MATCH($B30,RW_Register!$A$5:$A$304,0)),IFERROR(INDEX(Other_Register!$W$5:$W$304,MATCH($B30,Other_Register!$A$5:$A$304,0)),0))))</f>
        <v/>
      </c>
      <c r="P30" s="10" t="str">
        <f aca="false">IF($B30="","",IF(F30="","ID not found",IF(I30&lt;&gt;"Approved","WARNING: status is "&amp;I30,IF(D30="","Enter length / qty","OK"))))</f>
        <v/>
      </c>
    </row>
    <row r="31" customFormat="false" ht="15" hidden="false" customHeight="false" outlineLevel="0" collapsed="false">
      <c r="A31" s="9"/>
      <c r="B31" s="9"/>
      <c r="C31" s="9"/>
      <c r="D31" s="23"/>
      <c r="E31" s="10" t="str">
        <f aca="false">IF($B31="","",IF(F31="Others",IFERROR(INDEX(Other_Register!$S$5:$S$304,MATCH($B31,Other_Register!$A$5:$A$304,0)),""),IF(F31="",  "","m")))</f>
        <v/>
      </c>
      <c r="F31" s="10" t="str">
        <f aca="false">IF($B31="","",IF(ISNUMBER(MATCH($B31,Drain_Register!$A$5:$A$304,0)),"Drain",IF(ISNUMBER(MATCH($B31,RW_Register!$A$5:$A$304,0)),"Ret. Wall",IF(ISNUMBER(MATCH($B31,Other_Register!$A$5:$A$304,0)),"Others",""))))</f>
        <v/>
      </c>
      <c r="G31" s="10" t="str">
        <f aca="false">IF($B31="","",IFERROR(INDEX(Drain_Register!$B$5:$B$304,MATCH($B31,Drain_Register!$A$5:$A$304,0)),IFERROR(INDEX(RW_Register!$B$5:$B$304,MATCH($B31,RW_Register!$A$5:$A$304,0)),IFERROR(INDEX(Other_Register!$B$5:$B$304,MATCH($B31,Other_Register!$A$5:$A$304,0)),"ID not found - check spelling"))))</f>
        <v/>
      </c>
      <c r="H31" s="10" t="str">
        <f aca="false">IF($B31="","",IFERROR(INDEX(Drain_Register!$R$5:$R$304,MATCH($B31,Drain_Register!$A$5:$A$304,0)),IFERROR(INDEX(RW_Register!$X$5:$X$304,MATCH($B31,RW_Register!$A$5:$A$304,0)),IFERROR(INDEX(Other_Register!$M$5:$M$304,MATCH($B31,Other_Register!$A$5:$A$304,0)),""))))</f>
        <v/>
      </c>
      <c r="I31" s="10" t="str">
        <f aca="false">IF($B31="","",IFERROR(INDEX(Drain_Register!$S$5:$S$304,MATCH($B31,Drain_Register!$A$5:$A$304,0)),IFERROR(INDEX(RW_Register!$Y$5:$Y$304,MATCH($B31,RW_Register!$A$5:$A$304,0)),IFERROR(INDEX(Other_Register!$N$5:$N$304,MATCH($B31,Other_Register!$A$5:$A$304,0)),""))))</f>
        <v/>
      </c>
      <c r="J31" s="10" t="str">
        <f aca="false">IF($B31="","",IFERROR(INDEX(Drain_Register!$T$5:$T$304,MATCH($B31,Drain_Register!$A$5:$A$304,0)),IFERROR(INDEX(RW_Register!$Z$5:$Z$304,MATCH($B31,RW_Register!$A$5:$A$304,0)),IFERROR(INDEX(Other_Register!$O$5:$O$304,MATCH($B31,Other_Register!$A$5:$A$304,0)),""))))</f>
        <v/>
      </c>
      <c r="K31" s="10" t="str">
        <f aca="false">IF($B31="","",IFERROR(INDEX(Drain_Register!$U$5:$U$304,MATCH($B31,Drain_Register!$A$5:$A$304,0)),IFERROR(INDEX(RW_Register!$AA$5:$AA$304,MATCH($B31,RW_Register!$A$5:$A$304,0)),IFERROR(INDEX(Other_Register!$P$5:$P$304,MATCH($B31,Other_Register!$A$5:$A$304,0)),""))))</f>
        <v/>
      </c>
      <c r="L31" s="21" t="str">
        <f aca="false">IF(OR($B31="",$D31=""),"",$D31*IFERROR(INDEX(Drain_Register!$X$5:$X$304,MATCH($B31,Drain_Register!$A$5:$A$304,0)),IFERROR(INDEX(RW_Register!$AD$5:$AD$304,MATCH($B31,RW_Register!$A$5:$A$304,0)),IFERROR(INDEX(Other_Register!$T$5:$T$304,MATCH($B31,Other_Register!$A$5:$A$304,0)),0))))</f>
        <v/>
      </c>
      <c r="M31" s="22" t="str">
        <f aca="false">IF(OR($B31="",$D31=""),"",$D31*IFERROR(INDEX(Drain_Register!$Y$5:$Y$304,MATCH($B31,Drain_Register!$A$5:$A$304,0)),IFERROR(INDEX(RW_Register!$AE$5:$AE$304,MATCH($B31,RW_Register!$A$5:$A$304,0)),IFERROR(INDEX(Other_Register!$U$5:$U$304,MATCH($B31,Other_Register!$A$5:$A$304,0)),0)))/1000)</f>
        <v/>
      </c>
      <c r="N31" s="21" t="str">
        <f aca="false">IF(OR($B31="",$D31=""),"",$D31*IFERROR(INDEX(Drain_Register!$Z$5:$Z$304,MATCH($B31,Drain_Register!$A$5:$A$304,0)),IFERROR(INDEX(RW_Register!$AF$5:$AF$304,MATCH($B31,RW_Register!$A$5:$A$304,0)),IFERROR(INDEX(Other_Register!$V$5:$V$304,MATCH($B31,Other_Register!$A$5:$A$304,0)),0))))</f>
        <v/>
      </c>
      <c r="O31" s="21" t="str">
        <f aca="false">IF(OR($B31="",$D31=""),"",$D31*IFERROR(INDEX(Drain_Register!$AA$5:$AA$304,MATCH($B31,Drain_Register!$A$5:$A$304,0)),IFERROR(INDEX(RW_Register!$AG$5:$AG$304,MATCH($B31,RW_Register!$A$5:$A$304,0)),IFERROR(INDEX(Other_Register!$W$5:$W$304,MATCH($B31,Other_Register!$A$5:$A$304,0)),0))))</f>
        <v/>
      </c>
      <c r="P31" s="10" t="str">
        <f aca="false">IF($B31="","",IF(F31="","ID not found",IF(I31&lt;&gt;"Approved","WARNING: status is "&amp;I31,IF(D31="","Enter length / qty","OK"))))</f>
        <v/>
      </c>
    </row>
    <row r="32" customFormat="false" ht="15" hidden="false" customHeight="false" outlineLevel="0" collapsed="false">
      <c r="A32" s="9"/>
      <c r="B32" s="9"/>
      <c r="C32" s="9"/>
      <c r="D32" s="23"/>
      <c r="E32" s="10" t="str">
        <f aca="false">IF($B32="","",IF(F32="Others",IFERROR(INDEX(Other_Register!$S$5:$S$304,MATCH($B32,Other_Register!$A$5:$A$304,0)),""),IF(F32="",  "","m")))</f>
        <v/>
      </c>
      <c r="F32" s="10" t="str">
        <f aca="false">IF($B32="","",IF(ISNUMBER(MATCH($B32,Drain_Register!$A$5:$A$304,0)),"Drain",IF(ISNUMBER(MATCH($B32,RW_Register!$A$5:$A$304,0)),"Ret. Wall",IF(ISNUMBER(MATCH($B32,Other_Register!$A$5:$A$304,0)),"Others",""))))</f>
        <v/>
      </c>
      <c r="G32" s="10" t="str">
        <f aca="false">IF($B32="","",IFERROR(INDEX(Drain_Register!$B$5:$B$304,MATCH($B32,Drain_Register!$A$5:$A$304,0)),IFERROR(INDEX(RW_Register!$B$5:$B$304,MATCH($B32,RW_Register!$A$5:$A$304,0)),IFERROR(INDEX(Other_Register!$B$5:$B$304,MATCH($B32,Other_Register!$A$5:$A$304,0)),"ID not found - check spelling"))))</f>
        <v/>
      </c>
      <c r="H32" s="10" t="str">
        <f aca="false">IF($B32="","",IFERROR(INDEX(Drain_Register!$R$5:$R$304,MATCH($B32,Drain_Register!$A$5:$A$304,0)),IFERROR(INDEX(RW_Register!$X$5:$X$304,MATCH($B32,RW_Register!$A$5:$A$304,0)),IFERROR(INDEX(Other_Register!$M$5:$M$304,MATCH($B32,Other_Register!$A$5:$A$304,0)),""))))</f>
        <v/>
      </c>
      <c r="I32" s="10" t="str">
        <f aca="false">IF($B32="","",IFERROR(INDEX(Drain_Register!$S$5:$S$304,MATCH($B32,Drain_Register!$A$5:$A$304,0)),IFERROR(INDEX(RW_Register!$Y$5:$Y$304,MATCH($B32,RW_Register!$A$5:$A$304,0)),IFERROR(INDEX(Other_Register!$N$5:$N$304,MATCH($B32,Other_Register!$A$5:$A$304,0)),""))))</f>
        <v/>
      </c>
      <c r="J32" s="10" t="str">
        <f aca="false">IF($B32="","",IFERROR(INDEX(Drain_Register!$T$5:$T$304,MATCH($B32,Drain_Register!$A$5:$A$304,0)),IFERROR(INDEX(RW_Register!$Z$5:$Z$304,MATCH($B32,RW_Register!$A$5:$A$304,0)),IFERROR(INDEX(Other_Register!$O$5:$O$304,MATCH($B32,Other_Register!$A$5:$A$304,0)),""))))</f>
        <v/>
      </c>
      <c r="K32" s="10" t="str">
        <f aca="false">IF($B32="","",IFERROR(INDEX(Drain_Register!$U$5:$U$304,MATCH($B32,Drain_Register!$A$5:$A$304,0)),IFERROR(INDEX(RW_Register!$AA$5:$AA$304,MATCH($B32,RW_Register!$A$5:$A$304,0)),IFERROR(INDEX(Other_Register!$P$5:$P$304,MATCH($B32,Other_Register!$A$5:$A$304,0)),""))))</f>
        <v/>
      </c>
      <c r="L32" s="21" t="str">
        <f aca="false">IF(OR($B32="",$D32=""),"",$D32*IFERROR(INDEX(Drain_Register!$X$5:$X$304,MATCH($B32,Drain_Register!$A$5:$A$304,0)),IFERROR(INDEX(RW_Register!$AD$5:$AD$304,MATCH($B32,RW_Register!$A$5:$A$304,0)),IFERROR(INDEX(Other_Register!$T$5:$T$304,MATCH($B32,Other_Register!$A$5:$A$304,0)),0))))</f>
        <v/>
      </c>
      <c r="M32" s="22" t="str">
        <f aca="false">IF(OR($B32="",$D32=""),"",$D32*IFERROR(INDEX(Drain_Register!$Y$5:$Y$304,MATCH($B32,Drain_Register!$A$5:$A$304,0)),IFERROR(INDEX(RW_Register!$AE$5:$AE$304,MATCH($B32,RW_Register!$A$5:$A$304,0)),IFERROR(INDEX(Other_Register!$U$5:$U$304,MATCH($B32,Other_Register!$A$5:$A$304,0)),0)))/1000)</f>
        <v/>
      </c>
      <c r="N32" s="21" t="str">
        <f aca="false">IF(OR($B32="",$D32=""),"",$D32*IFERROR(INDEX(Drain_Register!$Z$5:$Z$304,MATCH($B32,Drain_Register!$A$5:$A$304,0)),IFERROR(INDEX(RW_Register!$AF$5:$AF$304,MATCH($B32,RW_Register!$A$5:$A$304,0)),IFERROR(INDEX(Other_Register!$V$5:$V$304,MATCH($B32,Other_Register!$A$5:$A$304,0)),0))))</f>
        <v/>
      </c>
      <c r="O32" s="21" t="str">
        <f aca="false">IF(OR($B32="",$D32=""),"",$D32*IFERROR(INDEX(Drain_Register!$AA$5:$AA$304,MATCH($B32,Drain_Register!$A$5:$A$304,0)),IFERROR(INDEX(RW_Register!$AG$5:$AG$304,MATCH($B32,RW_Register!$A$5:$A$304,0)),IFERROR(INDEX(Other_Register!$W$5:$W$304,MATCH($B32,Other_Register!$A$5:$A$304,0)),0))))</f>
        <v/>
      </c>
      <c r="P32" s="10" t="str">
        <f aca="false">IF($B32="","",IF(F32="","ID not found",IF(I32&lt;&gt;"Approved","WARNING: status is "&amp;I32,IF(D32="","Enter length / qty","OK"))))</f>
        <v/>
      </c>
    </row>
    <row r="33" customFormat="false" ht="15" hidden="false" customHeight="false" outlineLevel="0" collapsed="false">
      <c r="A33" s="9"/>
      <c r="B33" s="9"/>
      <c r="C33" s="9"/>
      <c r="D33" s="23"/>
      <c r="E33" s="10" t="str">
        <f aca="false">IF($B33="","",IF(F33="Others",IFERROR(INDEX(Other_Register!$S$5:$S$304,MATCH($B33,Other_Register!$A$5:$A$304,0)),""),IF(F33="",  "","m")))</f>
        <v/>
      </c>
      <c r="F33" s="10" t="str">
        <f aca="false">IF($B33="","",IF(ISNUMBER(MATCH($B33,Drain_Register!$A$5:$A$304,0)),"Drain",IF(ISNUMBER(MATCH($B33,RW_Register!$A$5:$A$304,0)),"Ret. Wall",IF(ISNUMBER(MATCH($B33,Other_Register!$A$5:$A$304,0)),"Others",""))))</f>
        <v/>
      </c>
      <c r="G33" s="10" t="str">
        <f aca="false">IF($B33="","",IFERROR(INDEX(Drain_Register!$B$5:$B$304,MATCH($B33,Drain_Register!$A$5:$A$304,0)),IFERROR(INDEX(RW_Register!$B$5:$B$304,MATCH($B33,RW_Register!$A$5:$A$304,0)),IFERROR(INDEX(Other_Register!$B$5:$B$304,MATCH($B33,Other_Register!$A$5:$A$304,0)),"ID not found - check spelling"))))</f>
        <v/>
      </c>
      <c r="H33" s="10" t="str">
        <f aca="false">IF($B33="","",IFERROR(INDEX(Drain_Register!$R$5:$R$304,MATCH($B33,Drain_Register!$A$5:$A$304,0)),IFERROR(INDEX(RW_Register!$X$5:$X$304,MATCH($B33,RW_Register!$A$5:$A$304,0)),IFERROR(INDEX(Other_Register!$M$5:$M$304,MATCH($B33,Other_Register!$A$5:$A$304,0)),""))))</f>
        <v/>
      </c>
      <c r="I33" s="10" t="str">
        <f aca="false">IF($B33="","",IFERROR(INDEX(Drain_Register!$S$5:$S$304,MATCH($B33,Drain_Register!$A$5:$A$304,0)),IFERROR(INDEX(RW_Register!$Y$5:$Y$304,MATCH($B33,RW_Register!$A$5:$A$304,0)),IFERROR(INDEX(Other_Register!$N$5:$N$304,MATCH($B33,Other_Register!$A$5:$A$304,0)),""))))</f>
        <v/>
      </c>
      <c r="J33" s="10" t="str">
        <f aca="false">IF($B33="","",IFERROR(INDEX(Drain_Register!$T$5:$T$304,MATCH($B33,Drain_Register!$A$5:$A$304,0)),IFERROR(INDEX(RW_Register!$Z$5:$Z$304,MATCH($B33,RW_Register!$A$5:$A$304,0)),IFERROR(INDEX(Other_Register!$O$5:$O$304,MATCH($B33,Other_Register!$A$5:$A$304,0)),""))))</f>
        <v/>
      </c>
      <c r="K33" s="10" t="str">
        <f aca="false">IF($B33="","",IFERROR(INDEX(Drain_Register!$U$5:$U$304,MATCH($B33,Drain_Register!$A$5:$A$304,0)),IFERROR(INDEX(RW_Register!$AA$5:$AA$304,MATCH($B33,RW_Register!$A$5:$A$304,0)),IFERROR(INDEX(Other_Register!$P$5:$P$304,MATCH($B33,Other_Register!$A$5:$A$304,0)),""))))</f>
        <v/>
      </c>
      <c r="L33" s="21" t="str">
        <f aca="false">IF(OR($B33="",$D33=""),"",$D33*IFERROR(INDEX(Drain_Register!$X$5:$X$304,MATCH($B33,Drain_Register!$A$5:$A$304,0)),IFERROR(INDEX(RW_Register!$AD$5:$AD$304,MATCH($B33,RW_Register!$A$5:$A$304,0)),IFERROR(INDEX(Other_Register!$T$5:$T$304,MATCH($B33,Other_Register!$A$5:$A$304,0)),0))))</f>
        <v/>
      </c>
      <c r="M33" s="22" t="str">
        <f aca="false">IF(OR($B33="",$D33=""),"",$D33*IFERROR(INDEX(Drain_Register!$Y$5:$Y$304,MATCH($B33,Drain_Register!$A$5:$A$304,0)),IFERROR(INDEX(RW_Register!$AE$5:$AE$304,MATCH($B33,RW_Register!$A$5:$A$304,0)),IFERROR(INDEX(Other_Register!$U$5:$U$304,MATCH($B33,Other_Register!$A$5:$A$304,0)),0)))/1000)</f>
        <v/>
      </c>
      <c r="N33" s="21" t="str">
        <f aca="false">IF(OR($B33="",$D33=""),"",$D33*IFERROR(INDEX(Drain_Register!$Z$5:$Z$304,MATCH($B33,Drain_Register!$A$5:$A$304,0)),IFERROR(INDEX(RW_Register!$AF$5:$AF$304,MATCH($B33,RW_Register!$A$5:$A$304,0)),IFERROR(INDEX(Other_Register!$V$5:$V$304,MATCH($B33,Other_Register!$A$5:$A$304,0)),0))))</f>
        <v/>
      </c>
      <c r="O33" s="21" t="str">
        <f aca="false">IF(OR($B33="",$D33=""),"",$D33*IFERROR(INDEX(Drain_Register!$AA$5:$AA$304,MATCH($B33,Drain_Register!$A$5:$A$304,0)),IFERROR(INDEX(RW_Register!$AG$5:$AG$304,MATCH($B33,RW_Register!$A$5:$A$304,0)),IFERROR(INDEX(Other_Register!$W$5:$W$304,MATCH($B33,Other_Register!$A$5:$A$304,0)),0))))</f>
        <v/>
      </c>
      <c r="P33" s="10" t="str">
        <f aca="false">IF($B33="","",IF(F33="","ID not found",IF(I33&lt;&gt;"Approved","WARNING: status is "&amp;I33,IF(D33="","Enter length / qty","OK"))))</f>
        <v/>
      </c>
    </row>
    <row r="34" customFormat="false" ht="15" hidden="false" customHeight="false" outlineLevel="0" collapsed="false">
      <c r="A34" s="9"/>
      <c r="B34" s="9"/>
      <c r="C34" s="9"/>
      <c r="D34" s="23"/>
      <c r="E34" s="10" t="str">
        <f aca="false">IF($B34="","",IF(F34="Others",IFERROR(INDEX(Other_Register!$S$5:$S$304,MATCH($B34,Other_Register!$A$5:$A$304,0)),""),IF(F34="",  "","m")))</f>
        <v/>
      </c>
      <c r="F34" s="10" t="str">
        <f aca="false">IF($B34="","",IF(ISNUMBER(MATCH($B34,Drain_Register!$A$5:$A$304,0)),"Drain",IF(ISNUMBER(MATCH($B34,RW_Register!$A$5:$A$304,0)),"Ret. Wall",IF(ISNUMBER(MATCH($B34,Other_Register!$A$5:$A$304,0)),"Others",""))))</f>
        <v/>
      </c>
      <c r="G34" s="10" t="str">
        <f aca="false">IF($B34="","",IFERROR(INDEX(Drain_Register!$B$5:$B$304,MATCH($B34,Drain_Register!$A$5:$A$304,0)),IFERROR(INDEX(RW_Register!$B$5:$B$304,MATCH($B34,RW_Register!$A$5:$A$304,0)),IFERROR(INDEX(Other_Register!$B$5:$B$304,MATCH($B34,Other_Register!$A$5:$A$304,0)),"ID not found - check spelling"))))</f>
        <v/>
      </c>
      <c r="H34" s="10" t="str">
        <f aca="false">IF($B34="","",IFERROR(INDEX(Drain_Register!$R$5:$R$304,MATCH($B34,Drain_Register!$A$5:$A$304,0)),IFERROR(INDEX(RW_Register!$X$5:$X$304,MATCH($B34,RW_Register!$A$5:$A$304,0)),IFERROR(INDEX(Other_Register!$M$5:$M$304,MATCH($B34,Other_Register!$A$5:$A$304,0)),""))))</f>
        <v/>
      </c>
      <c r="I34" s="10" t="str">
        <f aca="false">IF($B34="","",IFERROR(INDEX(Drain_Register!$S$5:$S$304,MATCH($B34,Drain_Register!$A$5:$A$304,0)),IFERROR(INDEX(RW_Register!$Y$5:$Y$304,MATCH($B34,RW_Register!$A$5:$A$304,0)),IFERROR(INDEX(Other_Register!$N$5:$N$304,MATCH($B34,Other_Register!$A$5:$A$304,0)),""))))</f>
        <v/>
      </c>
      <c r="J34" s="10" t="str">
        <f aca="false">IF($B34="","",IFERROR(INDEX(Drain_Register!$T$5:$T$304,MATCH($B34,Drain_Register!$A$5:$A$304,0)),IFERROR(INDEX(RW_Register!$Z$5:$Z$304,MATCH($B34,RW_Register!$A$5:$A$304,0)),IFERROR(INDEX(Other_Register!$O$5:$O$304,MATCH($B34,Other_Register!$A$5:$A$304,0)),""))))</f>
        <v/>
      </c>
      <c r="K34" s="10" t="str">
        <f aca="false">IF($B34="","",IFERROR(INDEX(Drain_Register!$U$5:$U$304,MATCH($B34,Drain_Register!$A$5:$A$304,0)),IFERROR(INDEX(RW_Register!$AA$5:$AA$304,MATCH($B34,RW_Register!$A$5:$A$304,0)),IFERROR(INDEX(Other_Register!$P$5:$P$304,MATCH($B34,Other_Register!$A$5:$A$304,0)),""))))</f>
        <v/>
      </c>
      <c r="L34" s="21" t="str">
        <f aca="false">IF(OR($B34="",$D34=""),"",$D34*IFERROR(INDEX(Drain_Register!$X$5:$X$304,MATCH($B34,Drain_Register!$A$5:$A$304,0)),IFERROR(INDEX(RW_Register!$AD$5:$AD$304,MATCH($B34,RW_Register!$A$5:$A$304,0)),IFERROR(INDEX(Other_Register!$T$5:$T$304,MATCH($B34,Other_Register!$A$5:$A$304,0)),0))))</f>
        <v/>
      </c>
      <c r="M34" s="22" t="str">
        <f aca="false">IF(OR($B34="",$D34=""),"",$D34*IFERROR(INDEX(Drain_Register!$Y$5:$Y$304,MATCH($B34,Drain_Register!$A$5:$A$304,0)),IFERROR(INDEX(RW_Register!$AE$5:$AE$304,MATCH($B34,RW_Register!$A$5:$A$304,0)),IFERROR(INDEX(Other_Register!$U$5:$U$304,MATCH($B34,Other_Register!$A$5:$A$304,0)),0)))/1000)</f>
        <v/>
      </c>
      <c r="N34" s="21" t="str">
        <f aca="false">IF(OR($B34="",$D34=""),"",$D34*IFERROR(INDEX(Drain_Register!$Z$5:$Z$304,MATCH($B34,Drain_Register!$A$5:$A$304,0)),IFERROR(INDEX(RW_Register!$AF$5:$AF$304,MATCH($B34,RW_Register!$A$5:$A$304,0)),IFERROR(INDEX(Other_Register!$V$5:$V$304,MATCH($B34,Other_Register!$A$5:$A$304,0)),0))))</f>
        <v/>
      </c>
      <c r="O34" s="21" t="str">
        <f aca="false">IF(OR($B34="",$D34=""),"",$D34*IFERROR(INDEX(Drain_Register!$AA$5:$AA$304,MATCH($B34,Drain_Register!$A$5:$A$304,0)),IFERROR(INDEX(RW_Register!$AG$5:$AG$304,MATCH($B34,RW_Register!$A$5:$A$304,0)),IFERROR(INDEX(Other_Register!$W$5:$W$304,MATCH($B34,Other_Register!$A$5:$A$304,0)),0))))</f>
        <v/>
      </c>
      <c r="P34" s="10" t="str">
        <f aca="false">IF($B34="","",IF(F34="","ID not found",IF(I34&lt;&gt;"Approved","WARNING: status is "&amp;I34,IF(D34="","Enter length / qty","OK"))))</f>
        <v/>
      </c>
    </row>
    <row r="35" customFormat="false" ht="15" hidden="false" customHeight="false" outlineLevel="0" collapsed="false">
      <c r="A35" s="9"/>
      <c r="B35" s="9"/>
      <c r="C35" s="9"/>
      <c r="D35" s="23"/>
      <c r="E35" s="10" t="str">
        <f aca="false">IF($B35="","",IF(F35="Others",IFERROR(INDEX(Other_Register!$S$5:$S$304,MATCH($B35,Other_Register!$A$5:$A$304,0)),""),IF(F35="",  "","m")))</f>
        <v/>
      </c>
      <c r="F35" s="10" t="str">
        <f aca="false">IF($B35="","",IF(ISNUMBER(MATCH($B35,Drain_Register!$A$5:$A$304,0)),"Drain",IF(ISNUMBER(MATCH($B35,RW_Register!$A$5:$A$304,0)),"Ret. Wall",IF(ISNUMBER(MATCH($B35,Other_Register!$A$5:$A$304,0)),"Others",""))))</f>
        <v/>
      </c>
      <c r="G35" s="10" t="str">
        <f aca="false">IF($B35="","",IFERROR(INDEX(Drain_Register!$B$5:$B$304,MATCH($B35,Drain_Register!$A$5:$A$304,0)),IFERROR(INDEX(RW_Register!$B$5:$B$304,MATCH($B35,RW_Register!$A$5:$A$304,0)),IFERROR(INDEX(Other_Register!$B$5:$B$304,MATCH($B35,Other_Register!$A$5:$A$304,0)),"ID not found - check spelling"))))</f>
        <v/>
      </c>
      <c r="H35" s="10" t="str">
        <f aca="false">IF($B35="","",IFERROR(INDEX(Drain_Register!$R$5:$R$304,MATCH($B35,Drain_Register!$A$5:$A$304,0)),IFERROR(INDEX(RW_Register!$X$5:$X$304,MATCH($B35,RW_Register!$A$5:$A$304,0)),IFERROR(INDEX(Other_Register!$M$5:$M$304,MATCH($B35,Other_Register!$A$5:$A$304,0)),""))))</f>
        <v/>
      </c>
      <c r="I35" s="10" t="str">
        <f aca="false">IF($B35="","",IFERROR(INDEX(Drain_Register!$S$5:$S$304,MATCH($B35,Drain_Register!$A$5:$A$304,0)),IFERROR(INDEX(RW_Register!$Y$5:$Y$304,MATCH($B35,RW_Register!$A$5:$A$304,0)),IFERROR(INDEX(Other_Register!$N$5:$N$304,MATCH($B35,Other_Register!$A$5:$A$304,0)),""))))</f>
        <v/>
      </c>
      <c r="J35" s="10" t="str">
        <f aca="false">IF($B35="","",IFERROR(INDEX(Drain_Register!$T$5:$T$304,MATCH($B35,Drain_Register!$A$5:$A$304,0)),IFERROR(INDEX(RW_Register!$Z$5:$Z$304,MATCH($B35,RW_Register!$A$5:$A$304,0)),IFERROR(INDEX(Other_Register!$O$5:$O$304,MATCH($B35,Other_Register!$A$5:$A$304,0)),""))))</f>
        <v/>
      </c>
      <c r="K35" s="10" t="str">
        <f aca="false">IF($B35="","",IFERROR(INDEX(Drain_Register!$U$5:$U$304,MATCH($B35,Drain_Register!$A$5:$A$304,0)),IFERROR(INDEX(RW_Register!$AA$5:$AA$304,MATCH($B35,RW_Register!$A$5:$A$304,0)),IFERROR(INDEX(Other_Register!$P$5:$P$304,MATCH($B35,Other_Register!$A$5:$A$304,0)),""))))</f>
        <v/>
      </c>
      <c r="L35" s="21" t="str">
        <f aca="false">IF(OR($B35="",$D35=""),"",$D35*IFERROR(INDEX(Drain_Register!$X$5:$X$304,MATCH($B35,Drain_Register!$A$5:$A$304,0)),IFERROR(INDEX(RW_Register!$AD$5:$AD$304,MATCH($B35,RW_Register!$A$5:$A$304,0)),IFERROR(INDEX(Other_Register!$T$5:$T$304,MATCH($B35,Other_Register!$A$5:$A$304,0)),0))))</f>
        <v/>
      </c>
      <c r="M35" s="22" t="str">
        <f aca="false">IF(OR($B35="",$D35=""),"",$D35*IFERROR(INDEX(Drain_Register!$Y$5:$Y$304,MATCH($B35,Drain_Register!$A$5:$A$304,0)),IFERROR(INDEX(RW_Register!$AE$5:$AE$304,MATCH($B35,RW_Register!$A$5:$A$304,0)),IFERROR(INDEX(Other_Register!$U$5:$U$304,MATCH($B35,Other_Register!$A$5:$A$304,0)),0)))/1000)</f>
        <v/>
      </c>
      <c r="N35" s="21" t="str">
        <f aca="false">IF(OR($B35="",$D35=""),"",$D35*IFERROR(INDEX(Drain_Register!$Z$5:$Z$304,MATCH($B35,Drain_Register!$A$5:$A$304,0)),IFERROR(INDEX(RW_Register!$AF$5:$AF$304,MATCH($B35,RW_Register!$A$5:$A$304,0)),IFERROR(INDEX(Other_Register!$V$5:$V$304,MATCH($B35,Other_Register!$A$5:$A$304,0)),0))))</f>
        <v/>
      </c>
      <c r="O35" s="21" t="str">
        <f aca="false">IF(OR($B35="",$D35=""),"",$D35*IFERROR(INDEX(Drain_Register!$AA$5:$AA$304,MATCH($B35,Drain_Register!$A$5:$A$304,0)),IFERROR(INDEX(RW_Register!$AG$5:$AG$304,MATCH($B35,RW_Register!$A$5:$A$304,0)),IFERROR(INDEX(Other_Register!$W$5:$W$304,MATCH($B35,Other_Register!$A$5:$A$304,0)),0))))</f>
        <v/>
      </c>
      <c r="P35" s="10" t="str">
        <f aca="false">IF($B35="","",IF(F35="","ID not found",IF(I35&lt;&gt;"Approved","WARNING: status is "&amp;I35,IF(D35="","Enter length / qty","OK"))))</f>
        <v/>
      </c>
    </row>
    <row r="36" customFormat="false" ht="15" hidden="false" customHeight="false" outlineLevel="0" collapsed="false">
      <c r="A36" s="9"/>
      <c r="B36" s="9"/>
      <c r="C36" s="9"/>
      <c r="D36" s="23"/>
      <c r="E36" s="10" t="str">
        <f aca="false">IF($B36="","",IF(F36="Others",IFERROR(INDEX(Other_Register!$S$5:$S$304,MATCH($B36,Other_Register!$A$5:$A$304,0)),""),IF(F36="",  "","m")))</f>
        <v/>
      </c>
      <c r="F36" s="10" t="str">
        <f aca="false">IF($B36="","",IF(ISNUMBER(MATCH($B36,Drain_Register!$A$5:$A$304,0)),"Drain",IF(ISNUMBER(MATCH($B36,RW_Register!$A$5:$A$304,0)),"Ret. Wall",IF(ISNUMBER(MATCH($B36,Other_Register!$A$5:$A$304,0)),"Others",""))))</f>
        <v/>
      </c>
      <c r="G36" s="10" t="str">
        <f aca="false">IF($B36="","",IFERROR(INDEX(Drain_Register!$B$5:$B$304,MATCH($B36,Drain_Register!$A$5:$A$304,0)),IFERROR(INDEX(RW_Register!$B$5:$B$304,MATCH($B36,RW_Register!$A$5:$A$304,0)),IFERROR(INDEX(Other_Register!$B$5:$B$304,MATCH($B36,Other_Register!$A$5:$A$304,0)),"ID not found - check spelling"))))</f>
        <v/>
      </c>
      <c r="H36" s="10" t="str">
        <f aca="false">IF($B36="","",IFERROR(INDEX(Drain_Register!$R$5:$R$304,MATCH($B36,Drain_Register!$A$5:$A$304,0)),IFERROR(INDEX(RW_Register!$X$5:$X$304,MATCH($B36,RW_Register!$A$5:$A$304,0)),IFERROR(INDEX(Other_Register!$M$5:$M$304,MATCH($B36,Other_Register!$A$5:$A$304,0)),""))))</f>
        <v/>
      </c>
      <c r="I36" s="10" t="str">
        <f aca="false">IF($B36="","",IFERROR(INDEX(Drain_Register!$S$5:$S$304,MATCH($B36,Drain_Register!$A$5:$A$304,0)),IFERROR(INDEX(RW_Register!$Y$5:$Y$304,MATCH($B36,RW_Register!$A$5:$A$304,0)),IFERROR(INDEX(Other_Register!$N$5:$N$304,MATCH($B36,Other_Register!$A$5:$A$304,0)),""))))</f>
        <v/>
      </c>
      <c r="J36" s="10" t="str">
        <f aca="false">IF($B36="","",IFERROR(INDEX(Drain_Register!$T$5:$T$304,MATCH($B36,Drain_Register!$A$5:$A$304,0)),IFERROR(INDEX(RW_Register!$Z$5:$Z$304,MATCH($B36,RW_Register!$A$5:$A$304,0)),IFERROR(INDEX(Other_Register!$O$5:$O$304,MATCH($B36,Other_Register!$A$5:$A$304,0)),""))))</f>
        <v/>
      </c>
      <c r="K36" s="10" t="str">
        <f aca="false">IF($B36="","",IFERROR(INDEX(Drain_Register!$U$5:$U$304,MATCH($B36,Drain_Register!$A$5:$A$304,0)),IFERROR(INDEX(RW_Register!$AA$5:$AA$304,MATCH($B36,RW_Register!$A$5:$A$304,0)),IFERROR(INDEX(Other_Register!$P$5:$P$304,MATCH($B36,Other_Register!$A$5:$A$304,0)),""))))</f>
        <v/>
      </c>
      <c r="L36" s="21" t="str">
        <f aca="false">IF(OR($B36="",$D36=""),"",$D36*IFERROR(INDEX(Drain_Register!$X$5:$X$304,MATCH($B36,Drain_Register!$A$5:$A$304,0)),IFERROR(INDEX(RW_Register!$AD$5:$AD$304,MATCH($B36,RW_Register!$A$5:$A$304,0)),IFERROR(INDEX(Other_Register!$T$5:$T$304,MATCH($B36,Other_Register!$A$5:$A$304,0)),0))))</f>
        <v/>
      </c>
      <c r="M36" s="22" t="str">
        <f aca="false">IF(OR($B36="",$D36=""),"",$D36*IFERROR(INDEX(Drain_Register!$Y$5:$Y$304,MATCH($B36,Drain_Register!$A$5:$A$304,0)),IFERROR(INDEX(RW_Register!$AE$5:$AE$304,MATCH($B36,RW_Register!$A$5:$A$304,0)),IFERROR(INDEX(Other_Register!$U$5:$U$304,MATCH($B36,Other_Register!$A$5:$A$304,0)),0)))/1000)</f>
        <v/>
      </c>
      <c r="N36" s="21" t="str">
        <f aca="false">IF(OR($B36="",$D36=""),"",$D36*IFERROR(INDEX(Drain_Register!$Z$5:$Z$304,MATCH($B36,Drain_Register!$A$5:$A$304,0)),IFERROR(INDEX(RW_Register!$AF$5:$AF$304,MATCH($B36,RW_Register!$A$5:$A$304,0)),IFERROR(INDEX(Other_Register!$V$5:$V$304,MATCH($B36,Other_Register!$A$5:$A$304,0)),0))))</f>
        <v/>
      </c>
      <c r="O36" s="21" t="str">
        <f aca="false">IF(OR($B36="",$D36=""),"",$D36*IFERROR(INDEX(Drain_Register!$AA$5:$AA$304,MATCH($B36,Drain_Register!$A$5:$A$304,0)),IFERROR(INDEX(RW_Register!$AG$5:$AG$304,MATCH($B36,RW_Register!$A$5:$A$304,0)),IFERROR(INDEX(Other_Register!$W$5:$W$304,MATCH($B36,Other_Register!$A$5:$A$304,0)),0))))</f>
        <v/>
      </c>
      <c r="P36" s="10" t="str">
        <f aca="false">IF($B36="","",IF(F36="","ID not found",IF(I36&lt;&gt;"Approved","WARNING: status is "&amp;I36,IF(D36="","Enter length / qty","OK"))))</f>
        <v/>
      </c>
    </row>
    <row r="37" customFormat="false" ht="15" hidden="false" customHeight="false" outlineLevel="0" collapsed="false">
      <c r="A37" s="9"/>
      <c r="B37" s="9"/>
      <c r="C37" s="9"/>
      <c r="D37" s="23"/>
      <c r="E37" s="10" t="str">
        <f aca="false">IF($B37="","",IF(F37="Others",IFERROR(INDEX(Other_Register!$S$5:$S$304,MATCH($B37,Other_Register!$A$5:$A$304,0)),""),IF(F37="",  "","m")))</f>
        <v/>
      </c>
      <c r="F37" s="10" t="str">
        <f aca="false">IF($B37="","",IF(ISNUMBER(MATCH($B37,Drain_Register!$A$5:$A$304,0)),"Drain",IF(ISNUMBER(MATCH($B37,RW_Register!$A$5:$A$304,0)),"Ret. Wall",IF(ISNUMBER(MATCH($B37,Other_Register!$A$5:$A$304,0)),"Others",""))))</f>
        <v/>
      </c>
      <c r="G37" s="10" t="str">
        <f aca="false">IF($B37="","",IFERROR(INDEX(Drain_Register!$B$5:$B$304,MATCH($B37,Drain_Register!$A$5:$A$304,0)),IFERROR(INDEX(RW_Register!$B$5:$B$304,MATCH($B37,RW_Register!$A$5:$A$304,0)),IFERROR(INDEX(Other_Register!$B$5:$B$304,MATCH($B37,Other_Register!$A$5:$A$304,0)),"ID not found - check spelling"))))</f>
        <v/>
      </c>
      <c r="H37" s="10" t="str">
        <f aca="false">IF($B37="","",IFERROR(INDEX(Drain_Register!$R$5:$R$304,MATCH($B37,Drain_Register!$A$5:$A$304,0)),IFERROR(INDEX(RW_Register!$X$5:$X$304,MATCH($B37,RW_Register!$A$5:$A$304,0)),IFERROR(INDEX(Other_Register!$M$5:$M$304,MATCH($B37,Other_Register!$A$5:$A$304,0)),""))))</f>
        <v/>
      </c>
      <c r="I37" s="10" t="str">
        <f aca="false">IF($B37="","",IFERROR(INDEX(Drain_Register!$S$5:$S$304,MATCH($B37,Drain_Register!$A$5:$A$304,0)),IFERROR(INDEX(RW_Register!$Y$5:$Y$304,MATCH($B37,RW_Register!$A$5:$A$304,0)),IFERROR(INDEX(Other_Register!$N$5:$N$304,MATCH($B37,Other_Register!$A$5:$A$304,0)),""))))</f>
        <v/>
      </c>
      <c r="J37" s="10" t="str">
        <f aca="false">IF($B37="","",IFERROR(INDEX(Drain_Register!$T$5:$T$304,MATCH($B37,Drain_Register!$A$5:$A$304,0)),IFERROR(INDEX(RW_Register!$Z$5:$Z$304,MATCH($B37,RW_Register!$A$5:$A$304,0)),IFERROR(INDEX(Other_Register!$O$5:$O$304,MATCH($B37,Other_Register!$A$5:$A$304,0)),""))))</f>
        <v/>
      </c>
      <c r="K37" s="10" t="str">
        <f aca="false">IF($B37="","",IFERROR(INDEX(Drain_Register!$U$5:$U$304,MATCH($B37,Drain_Register!$A$5:$A$304,0)),IFERROR(INDEX(RW_Register!$AA$5:$AA$304,MATCH($B37,RW_Register!$A$5:$A$304,0)),IFERROR(INDEX(Other_Register!$P$5:$P$304,MATCH($B37,Other_Register!$A$5:$A$304,0)),""))))</f>
        <v/>
      </c>
      <c r="L37" s="21" t="str">
        <f aca="false">IF(OR($B37="",$D37=""),"",$D37*IFERROR(INDEX(Drain_Register!$X$5:$X$304,MATCH($B37,Drain_Register!$A$5:$A$304,0)),IFERROR(INDEX(RW_Register!$AD$5:$AD$304,MATCH($B37,RW_Register!$A$5:$A$304,0)),IFERROR(INDEX(Other_Register!$T$5:$T$304,MATCH($B37,Other_Register!$A$5:$A$304,0)),0))))</f>
        <v/>
      </c>
      <c r="M37" s="22" t="str">
        <f aca="false">IF(OR($B37="",$D37=""),"",$D37*IFERROR(INDEX(Drain_Register!$Y$5:$Y$304,MATCH($B37,Drain_Register!$A$5:$A$304,0)),IFERROR(INDEX(RW_Register!$AE$5:$AE$304,MATCH($B37,RW_Register!$A$5:$A$304,0)),IFERROR(INDEX(Other_Register!$U$5:$U$304,MATCH($B37,Other_Register!$A$5:$A$304,0)),0)))/1000)</f>
        <v/>
      </c>
      <c r="N37" s="21" t="str">
        <f aca="false">IF(OR($B37="",$D37=""),"",$D37*IFERROR(INDEX(Drain_Register!$Z$5:$Z$304,MATCH($B37,Drain_Register!$A$5:$A$304,0)),IFERROR(INDEX(RW_Register!$AF$5:$AF$304,MATCH($B37,RW_Register!$A$5:$A$304,0)),IFERROR(INDEX(Other_Register!$V$5:$V$304,MATCH($B37,Other_Register!$A$5:$A$304,0)),0))))</f>
        <v/>
      </c>
      <c r="O37" s="21" t="str">
        <f aca="false">IF(OR($B37="",$D37=""),"",$D37*IFERROR(INDEX(Drain_Register!$AA$5:$AA$304,MATCH($B37,Drain_Register!$A$5:$A$304,0)),IFERROR(INDEX(RW_Register!$AG$5:$AG$304,MATCH($B37,RW_Register!$A$5:$A$304,0)),IFERROR(INDEX(Other_Register!$W$5:$W$304,MATCH($B37,Other_Register!$A$5:$A$304,0)),0))))</f>
        <v/>
      </c>
      <c r="P37" s="10" t="str">
        <f aca="false">IF($B37="","",IF(F37="","ID not found",IF(I37&lt;&gt;"Approved","WARNING: status is "&amp;I37,IF(D37="","Enter length / qty","OK"))))</f>
        <v/>
      </c>
    </row>
    <row r="38" customFormat="false" ht="15" hidden="false" customHeight="false" outlineLevel="0" collapsed="false">
      <c r="A38" s="9"/>
      <c r="B38" s="9"/>
      <c r="C38" s="9"/>
      <c r="D38" s="23"/>
      <c r="E38" s="10" t="str">
        <f aca="false">IF($B38="","",IF(F38="Others",IFERROR(INDEX(Other_Register!$S$5:$S$304,MATCH($B38,Other_Register!$A$5:$A$304,0)),""),IF(F38="",  "","m")))</f>
        <v/>
      </c>
      <c r="F38" s="10" t="str">
        <f aca="false">IF($B38="","",IF(ISNUMBER(MATCH($B38,Drain_Register!$A$5:$A$304,0)),"Drain",IF(ISNUMBER(MATCH($B38,RW_Register!$A$5:$A$304,0)),"Ret. Wall",IF(ISNUMBER(MATCH($B38,Other_Register!$A$5:$A$304,0)),"Others",""))))</f>
        <v/>
      </c>
      <c r="G38" s="10" t="str">
        <f aca="false">IF($B38="","",IFERROR(INDEX(Drain_Register!$B$5:$B$304,MATCH($B38,Drain_Register!$A$5:$A$304,0)),IFERROR(INDEX(RW_Register!$B$5:$B$304,MATCH($B38,RW_Register!$A$5:$A$304,0)),IFERROR(INDEX(Other_Register!$B$5:$B$304,MATCH($B38,Other_Register!$A$5:$A$304,0)),"ID not found - check spelling"))))</f>
        <v/>
      </c>
      <c r="H38" s="10" t="str">
        <f aca="false">IF($B38="","",IFERROR(INDEX(Drain_Register!$R$5:$R$304,MATCH($B38,Drain_Register!$A$5:$A$304,0)),IFERROR(INDEX(RW_Register!$X$5:$X$304,MATCH($B38,RW_Register!$A$5:$A$304,0)),IFERROR(INDEX(Other_Register!$M$5:$M$304,MATCH($B38,Other_Register!$A$5:$A$304,0)),""))))</f>
        <v/>
      </c>
      <c r="I38" s="10" t="str">
        <f aca="false">IF($B38="","",IFERROR(INDEX(Drain_Register!$S$5:$S$304,MATCH($B38,Drain_Register!$A$5:$A$304,0)),IFERROR(INDEX(RW_Register!$Y$5:$Y$304,MATCH($B38,RW_Register!$A$5:$A$304,0)),IFERROR(INDEX(Other_Register!$N$5:$N$304,MATCH($B38,Other_Register!$A$5:$A$304,0)),""))))</f>
        <v/>
      </c>
      <c r="J38" s="10" t="str">
        <f aca="false">IF($B38="","",IFERROR(INDEX(Drain_Register!$T$5:$T$304,MATCH($B38,Drain_Register!$A$5:$A$304,0)),IFERROR(INDEX(RW_Register!$Z$5:$Z$304,MATCH($B38,RW_Register!$A$5:$A$304,0)),IFERROR(INDEX(Other_Register!$O$5:$O$304,MATCH($B38,Other_Register!$A$5:$A$304,0)),""))))</f>
        <v/>
      </c>
      <c r="K38" s="10" t="str">
        <f aca="false">IF($B38="","",IFERROR(INDEX(Drain_Register!$U$5:$U$304,MATCH($B38,Drain_Register!$A$5:$A$304,0)),IFERROR(INDEX(RW_Register!$AA$5:$AA$304,MATCH($B38,RW_Register!$A$5:$A$304,0)),IFERROR(INDEX(Other_Register!$P$5:$P$304,MATCH($B38,Other_Register!$A$5:$A$304,0)),""))))</f>
        <v/>
      </c>
      <c r="L38" s="21" t="str">
        <f aca="false">IF(OR($B38="",$D38=""),"",$D38*IFERROR(INDEX(Drain_Register!$X$5:$X$304,MATCH($B38,Drain_Register!$A$5:$A$304,0)),IFERROR(INDEX(RW_Register!$AD$5:$AD$304,MATCH($B38,RW_Register!$A$5:$A$304,0)),IFERROR(INDEX(Other_Register!$T$5:$T$304,MATCH($B38,Other_Register!$A$5:$A$304,0)),0))))</f>
        <v/>
      </c>
      <c r="M38" s="22" t="str">
        <f aca="false">IF(OR($B38="",$D38=""),"",$D38*IFERROR(INDEX(Drain_Register!$Y$5:$Y$304,MATCH($B38,Drain_Register!$A$5:$A$304,0)),IFERROR(INDEX(RW_Register!$AE$5:$AE$304,MATCH($B38,RW_Register!$A$5:$A$304,0)),IFERROR(INDEX(Other_Register!$U$5:$U$304,MATCH($B38,Other_Register!$A$5:$A$304,0)),0)))/1000)</f>
        <v/>
      </c>
      <c r="N38" s="21" t="str">
        <f aca="false">IF(OR($B38="",$D38=""),"",$D38*IFERROR(INDEX(Drain_Register!$Z$5:$Z$304,MATCH($B38,Drain_Register!$A$5:$A$304,0)),IFERROR(INDEX(RW_Register!$AF$5:$AF$304,MATCH($B38,RW_Register!$A$5:$A$304,0)),IFERROR(INDEX(Other_Register!$V$5:$V$304,MATCH($B38,Other_Register!$A$5:$A$304,0)),0))))</f>
        <v/>
      </c>
      <c r="O38" s="21" t="str">
        <f aca="false">IF(OR($B38="",$D38=""),"",$D38*IFERROR(INDEX(Drain_Register!$AA$5:$AA$304,MATCH($B38,Drain_Register!$A$5:$A$304,0)),IFERROR(INDEX(RW_Register!$AG$5:$AG$304,MATCH($B38,RW_Register!$A$5:$A$304,0)),IFERROR(INDEX(Other_Register!$W$5:$W$304,MATCH($B38,Other_Register!$A$5:$A$304,0)),0))))</f>
        <v/>
      </c>
      <c r="P38" s="10" t="str">
        <f aca="false">IF($B38="","",IF(F38="","ID not found",IF(I38&lt;&gt;"Approved","WARNING: status is "&amp;I38,IF(D38="","Enter length / qty","OK"))))</f>
        <v/>
      </c>
    </row>
    <row r="39" customFormat="false" ht="15" hidden="false" customHeight="false" outlineLevel="0" collapsed="false">
      <c r="A39" s="9"/>
      <c r="B39" s="9"/>
      <c r="C39" s="9"/>
      <c r="D39" s="23"/>
      <c r="E39" s="10" t="str">
        <f aca="false">IF($B39="","",IF(F39="Others",IFERROR(INDEX(Other_Register!$S$5:$S$304,MATCH($B39,Other_Register!$A$5:$A$304,0)),""),IF(F39="",  "","m")))</f>
        <v/>
      </c>
      <c r="F39" s="10" t="str">
        <f aca="false">IF($B39="","",IF(ISNUMBER(MATCH($B39,Drain_Register!$A$5:$A$304,0)),"Drain",IF(ISNUMBER(MATCH($B39,RW_Register!$A$5:$A$304,0)),"Ret. Wall",IF(ISNUMBER(MATCH($B39,Other_Register!$A$5:$A$304,0)),"Others",""))))</f>
        <v/>
      </c>
      <c r="G39" s="10" t="str">
        <f aca="false">IF($B39="","",IFERROR(INDEX(Drain_Register!$B$5:$B$304,MATCH($B39,Drain_Register!$A$5:$A$304,0)),IFERROR(INDEX(RW_Register!$B$5:$B$304,MATCH($B39,RW_Register!$A$5:$A$304,0)),IFERROR(INDEX(Other_Register!$B$5:$B$304,MATCH($B39,Other_Register!$A$5:$A$304,0)),"ID not found - check spelling"))))</f>
        <v/>
      </c>
      <c r="H39" s="10" t="str">
        <f aca="false">IF($B39="","",IFERROR(INDEX(Drain_Register!$R$5:$R$304,MATCH($B39,Drain_Register!$A$5:$A$304,0)),IFERROR(INDEX(RW_Register!$X$5:$X$304,MATCH($B39,RW_Register!$A$5:$A$304,0)),IFERROR(INDEX(Other_Register!$M$5:$M$304,MATCH($B39,Other_Register!$A$5:$A$304,0)),""))))</f>
        <v/>
      </c>
      <c r="I39" s="10" t="str">
        <f aca="false">IF($B39="","",IFERROR(INDEX(Drain_Register!$S$5:$S$304,MATCH($B39,Drain_Register!$A$5:$A$304,0)),IFERROR(INDEX(RW_Register!$Y$5:$Y$304,MATCH($B39,RW_Register!$A$5:$A$304,0)),IFERROR(INDEX(Other_Register!$N$5:$N$304,MATCH($B39,Other_Register!$A$5:$A$304,0)),""))))</f>
        <v/>
      </c>
      <c r="J39" s="10" t="str">
        <f aca="false">IF($B39="","",IFERROR(INDEX(Drain_Register!$T$5:$T$304,MATCH($B39,Drain_Register!$A$5:$A$304,0)),IFERROR(INDEX(RW_Register!$Z$5:$Z$304,MATCH($B39,RW_Register!$A$5:$A$304,0)),IFERROR(INDEX(Other_Register!$O$5:$O$304,MATCH($B39,Other_Register!$A$5:$A$304,0)),""))))</f>
        <v/>
      </c>
      <c r="K39" s="10" t="str">
        <f aca="false">IF($B39="","",IFERROR(INDEX(Drain_Register!$U$5:$U$304,MATCH($B39,Drain_Register!$A$5:$A$304,0)),IFERROR(INDEX(RW_Register!$AA$5:$AA$304,MATCH($B39,RW_Register!$A$5:$A$304,0)),IFERROR(INDEX(Other_Register!$P$5:$P$304,MATCH($B39,Other_Register!$A$5:$A$304,0)),""))))</f>
        <v/>
      </c>
      <c r="L39" s="21" t="str">
        <f aca="false">IF(OR($B39="",$D39=""),"",$D39*IFERROR(INDEX(Drain_Register!$X$5:$X$304,MATCH($B39,Drain_Register!$A$5:$A$304,0)),IFERROR(INDEX(RW_Register!$AD$5:$AD$304,MATCH($B39,RW_Register!$A$5:$A$304,0)),IFERROR(INDEX(Other_Register!$T$5:$T$304,MATCH($B39,Other_Register!$A$5:$A$304,0)),0))))</f>
        <v/>
      </c>
      <c r="M39" s="22" t="str">
        <f aca="false">IF(OR($B39="",$D39=""),"",$D39*IFERROR(INDEX(Drain_Register!$Y$5:$Y$304,MATCH($B39,Drain_Register!$A$5:$A$304,0)),IFERROR(INDEX(RW_Register!$AE$5:$AE$304,MATCH($B39,RW_Register!$A$5:$A$304,0)),IFERROR(INDEX(Other_Register!$U$5:$U$304,MATCH($B39,Other_Register!$A$5:$A$304,0)),0)))/1000)</f>
        <v/>
      </c>
      <c r="N39" s="21" t="str">
        <f aca="false">IF(OR($B39="",$D39=""),"",$D39*IFERROR(INDEX(Drain_Register!$Z$5:$Z$304,MATCH($B39,Drain_Register!$A$5:$A$304,0)),IFERROR(INDEX(RW_Register!$AF$5:$AF$304,MATCH($B39,RW_Register!$A$5:$A$304,0)),IFERROR(INDEX(Other_Register!$V$5:$V$304,MATCH($B39,Other_Register!$A$5:$A$304,0)),0))))</f>
        <v/>
      </c>
      <c r="O39" s="21" t="str">
        <f aca="false">IF(OR($B39="",$D39=""),"",$D39*IFERROR(INDEX(Drain_Register!$AA$5:$AA$304,MATCH($B39,Drain_Register!$A$5:$A$304,0)),IFERROR(INDEX(RW_Register!$AG$5:$AG$304,MATCH($B39,RW_Register!$A$5:$A$304,0)),IFERROR(INDEX(Other_Register!$W$5:$W$304,MATCH($B39,Other_Register!$A$5:$A$304,0)),0))))</f>
        <v/>
      </c>
      <c r="P39" s="10" t="str">
        <f aca="false">IF($B39="","",IF(F39="","ID not found",IF(I39&lt;&gt;"Approved","WARNING: status is "&amp;I39,IF(D39="","Enter length / qty","OK"))))</f>
        <v/>
      </c>
    </row>
    <row r="40" customFormat="false" ht="15" hidden="false" customHeight="false" outlineLevel="0" collapsed="false">
      <c r="A40" s="9"/>
      <c r="B40" s="9"/>
      <c r="C40" s="9"/>
      <c r="D40" s="23"/>
      <c r="E40" s="10" t="str">
        <f aca="false">IF($B40="","",IF(F40="Others",IFERROR(INDEX(Other_Register!$S$5:$S$304,MATCH($B40,Other_Register!$A$5:$A$304,0)),""),IF(F40="",  "","m")))</f>
        <v/>
      </c>
      <c r="F40" s="10" t="str">
        <f aca="false">IF($B40="","",IF(ISNUMBER(MATCH($B40,Drain_Register!$A$5:$A$304,0)),"Drain",IF(ISNUMBER(MATCH($B40,RW_Register!$A$5:$A$304,0)),"Ret. Wall",IF(ISNUMBER(MATCH($B40,Other_Register!$A$5:$A$304,0)),"Others",""))))</f>
        <v/>
      </c>
      <c r="G40" s="10" t="str">
        <f aca="false">IF($B40="","",IFERROR(INDEX(Drain_Register!$B$5:$B$304,MATCH($B40,Drain_Register!$A$5:$A$304,0)),IFERROR(INDEX(RW_Register!$B$5:$B$304,MATCH($B40,RW_Register!$A$5:$A$304,0)),IFERROR(INDEX(Other_Register!$B$5:$B$304,MATCH($B40,Other_Register!$A$5:$A$304,0)),"ID not found - check spelling"))))</f>
        <v/>
      </c>
      <c r="H40" s="10" t="str">
        <f aca="false">IF($B40="","",IFERROR(INDEX(Drain_Register!$R$5:$R$304,MATCH($B40,Drain_Register!$A$5:$A$304,0)),IFERROR(INDEX(RW_Register!$X$5:$X$304,MATCH($B40,RW_Register!$A$5:$A$304,0)),IFERROR(INDEX(Other_Register!$M$5:$M$304,MATCH($B40,Other_Register!$A$5:$A$304,0)),""))))</f>
        <v/>
      </c>
      <c r="I40" s="10" t="str">
        <f aca="false">IF($B40="","",IFERROR(INDEX(Drain_Register!$S$5:$S$304,MATCH($B40,Drain_Register!$A$5:$A$304,0)),IFERROR(INDEX(RW_Register!$Y$5:$Y$304,MATCH($B40,RW_Register!$A$5:$A$304,0)),IFERROR(INDEX(Other_Register!$N$5:$N$304,MATCH($B40,Other_Register!$A$5:$A$304,0)),""))))</f>
        <v/>
      </c>
      <c r="J40" s="10" t="str">
        <f aca="false">IF($B40="","",IFERROR(INDEX(Drain_Register!$T$5:$T$304,MATCH($B40,Drain_Register!$A$5:$A$304,0)),IFERROR(INDEX(RW_Register!$Z$5:$Z$304,MATCH($B40,RW_Register!$A$5:$A$304,0)),IFERROR(INDEX(Other_Register!$O$5:$O$304,MATCH($B40,Other_Register!$A$5:$A$304,0)),""))))</f>
        <v/>
      </c>
      <c r="K40" s="10" t="str">
        <f aca="false">IF($B40="","",IFERROR(INDEX(Drain_Register!$U$5:$U$304,MATCH($B40,Drain_Register!$A$5:$A$304,0)),IFERROR(INDEX(RW_Register!$AA$5:$AA$304,MATCH($B40,RW_Register!$A$5:$A$304,0)),IFERROR(INDEX(Other_Register!$P$5:$P$304,MATCH($B40,Other_Register!$A$5:$A$304,0)),""))))</f>
        <v/>
      </c>
      <c r="L40" s="21" t="str">
        <f aca="false">IF(OR($B40="",$D40=""),"",$D40*IFERROR(INDEX(Drain_Register!$X$5:$X$304,MATCH($B40,Drain_Register!$A$5:$A$304,0)),IFERROR(INDEX(RW_Register!$AD$5:$AD$304,MATCH($B40,RW_Register!$A$5:$A$304,0)),IFERROR(INDEX(Other_Register!$T$5:$T$304,MATCH($B40,Other_Register!$A$5:$A$304,0)),0))))</f>
        <v/>
      </c>
      <c r="M40" s="22" t="str">
        <f aca="false">IF(OR($B40="",$D40=""),"",$D40*IFERROR(INDEX(Drain_Register!$Y$5:$Y$304,MATCH($B40,Drain_Register!$A$5:$A$304,0)),IFERROR(INDEX(RW_Register!$AE$5:$AE$304,MATCH($B40,RW_Register!$A$5:$A$304,0)),IFERROR(INDEX(Other_Register!$U$5:$U$304,MATCH($B40,Other_Register!$A$5:$A$304,0)),0)))/1000)</f>
        <v/>
      </c>
      <c r="N40" s="21" t="str">
        <f aca="false">IF(OR($B40="",$D40=""),"",$D40*IFERROR(INDEX(Drain_Register!$Z$5:$Z$304,MATCH($B40,Drain_Register!$A$5:$A$304,0)),IFERROR(INDEX(RW_Register!$AF$5:$AF$304,MATCH($B40,RW_Register!$A$5:$A$304,0)),IFERROR(INDEX(Other_Register!$V$5:$V$304,MATCH($B40,Other_Register!$A$5:$A$304,0)),0))))</f>
        <v/>
      </c>
      <c r="O40" s="21" t="str">
        <f aca="false">IF(OR($B40="",$D40=""),"",$D40*IFERROR(INDEX(Drain_Register!$AA$5:$AA$304,MATCH($B40,Drain_Register!$A$5:$A$304,0)),IFERROR(INDEX(RW_Register!$AG$5:$AG$304,MATCH($B40,RW_Register!$A$5:$A$304,0)),IFERROR(INDEX(Other_Register!$W$5:$W$304,MATCH($B40,Other_Register!$A$5:$A$304,0)),0))))</f>
        <v/>
      </c>
      <c r="P40" s="10" t="str">
        <f aca="false">IF($B40="","",IF(F40="","ID not found",IF(I40&lt;&gt;"Approved","WARNING: status is "&amp;I40,IF(D40="","Enter length / qty","OK"))))</f>
        <v/>
      </c>
    </row>
    <row r="41" customFormat="false" ht="15" hidden="false" customHeight="false" outlineLevel="0" collapsed="false">
      <c r="A41" s="9"/>
      <c r="B41" s="9"/>
      <c r="C41" s="9"/>
      <c r="D41" s="23"/>
      <c r="E41" s="10" t="str">
        <f aca="false">IF($B41="","",IF(F41="Others",IFERROR(INDEX(Other_Register!$S$5:$S$304,MATCH($B41,Other_Register!$A$5:$A$304,0)),""),IF(F41="",  "","m")))</f>
        <v/>
      </c>
      <c r="F41" s="10" t="str">
        <f aca="false">IF($B41="","",IF(ISNUMBER(MATCH($B41,Drain_Register!$A$5:$A$304,0)),"Drain",IF(ISNUMBER(MATCH($B41,RW_Register!$A$5:$A$304,0)),"Ret. Wall",IF(ISNUMBER(MATCH($B41,Other_Register!$A$5:$A$304,0)),"Others",""))))</f>
        <v/>
      </c>
      <c r="G41" s="10" t="str">
        <f aca="false">IF($B41="","",IFERROR(INDEX(Drain_Register!$B$5:$B$304,MATCH($B41,Drain_Register!$A$5:$A$304,0)),IFERROR(INDEX(RW_Register!$B$5:$B$304,MATCH($B41,RW_Register!$A$5:$A$304,0)),IFERROR(INDEX(Other_Register!$B$5:$B$304,MATCH($B41,Other_Register!$A$5:$A$304,0)),"ID not found - check spelling"))))</f>
        <v/>
      </c>
      <c r="H41" s="10" t="str">
        <f aca="false">IF($B41="","",IFERROR(INDEX(Drain_Register!$R$5:$R$304,MATCH($B41,Drain_Register!$A$5:$A$304,0)),IFERROR(INDEX(RW_Register!$X$5:$X$304,MATCH($B41,RW_Register!$A$5:$A$304,0)),IFERROR(INDEX(Other_Register!$M$5:$M$304,MATCH($B41,Other_Register!$A$5:$A$304,0)),""))))</f>
        <v/>
      </c>
      <c r="I41" s="10" t="str">
        <f aca="false">IF($B41="","",IFERROR(INDEX(Drain_Register!$S$5:$S$304,MATCH($B41,Drain_Register!$A$5:$A$304,0)),IFERROR(INDEX(RW_Register!$Y$5:$Y$304,MATCH($B41,RW_Register!$A$5:$A$304,0)),IFERROR(INDEX(Other_Register!$N$5:$N$304,MATCH($B41,Other_Register!$A$5:$A$304,0)),""))))</f>
        <v/>
      </c>
      <c r="J41" s="10" t="str">
        <f aca="false">IF($B41="","",IFERROR(INDEX(Drain_Register!$T$5:$T$304,MATCH($B41,Drain_Register!$A$5:$A$304,0)),IFERROR(INDEX(RW_Register!$Z$5:$Z$304,MATCH($B41,RW_Register!$A$5:$A$304,0)),IFERROR(INDEX(Other_Register!$O$5:$O$304,MATCH($B41,Other_Register!$A$5:$A$304,0)),""))))</f>
        <v/>
      </c>
      <c r="K41" s="10" t="str">
        <f aca="false">IF($B41="","",IFERROR(INDEX(Drain_Register!$U$5:$U$304,MATCH($B41,Drain_Register!$A$5:$A$304,0)),IFERROR(INDEX(RW_Register!$AA$5:$AA$304,MATCH($B41,RW_Register!$A$5:$A$304,0)),IFERROR(INDEX(Other_Register!$P$5:$P$304,MATCH($B41,Other_Register!$A$5:$A$304,0)),""))))</f>
        <v/>
      </c>
      <c r="L41" s="21" t="str">
        <f aca="false">IF(OR($B41="",$D41=""),"",$D41*IFERROR(INDEX(Drain_Register!$X$5:$X$304,MATCH($B41,Drain_Register!$A$5:$A$304,0)),IFERROR(INDEX(RW_Register!$AD$5:$AD$304,MATCH($B41,RW_Register!$A$5:$A$304,0)),IFERROR(INDEX(Other_Register!$T$5:$T$304,MATCH($B41,Other_Register!$A$5:$A$304,0)),0))))</f>
        <v/>
      </c>
      <c r="M41" s="22" t="str">
        <f aca="false">IF(OR($B41="",$D41=""),"",$D41*IFERROR(INDEX(Drain_Register!$Y$5:$Y$304,MATCH($B41,Drain_Register!$A$5:$A$304,0)),IFERROR(INDEX(RW_Register!$AE$5:$AE$304,MATCH($B41,RW_Register!$A$5:$A$304,0)),IFERROR(INDEX(Other_Register!$U$5:$U$304,MATCH($B41,Other_Register!$A$5:$A$304,0)),0)))/1000)</f>
        <v/>
      </c>
      <c r="N41" s="21" t="str">
        <f aca="false">IF(OR($B41="",$D41=""),"",$D41*IFERROR(INDEX(Drain_Register!$Z$5:$Z$304,MATCH($B41,Drain_Register!$A$5:$A$304,0)),IFERROR(INDEX(RW_Register!$AF$5:$AF$304,MATCH($B41,RW_Register!$A$5:$A$304,0)),IFERROR(INDEX(Other_Register!$V$5:$V$304,MATCH($B41,Other_Register!$A$5:$A$304,0)),0))))</f>
        <v/>
      </c>
      <c r="O41" s="21" t="str">
        <f aca="false">IF(OR($B41="",$D41=""),"",$D41*IFERROR(INDEX(Drain_Register!$AA$5:$AA$304,MATCH($B41,Drain_Register!$A$5:$A$304,0)),IFERROR(INDEX(RW_Register!$AG$5:$AG$304,MATCH($B41,RW_Register!$A$5:$A$304,0)),IFERROR(INDEX(Other_Register!$W$5:$W$304,MATCH($B41,Other_Register!$A$5:$A$304,0)),0))))</f>
        <v/>
      </c>
      <c r="P41" s="10" t="str">
        <f aca="false">IF($B41="","",IF(F41="","ID not found",IF(I41&lt;&gt;"Approved","WARNING: status is "&amp;I41,IF(D41="","Enter length / qty","OK"))))</f>
        <v/>
      </c>
    </row>
    <row r="42" customFormat="false" ht="15" hidden="false" customHeight="false" outlineLevel="0" collapsed="false">
      <c r="A42" s="9"/>
      <c r="B42" s="9"/>
      <c r="C42" s="9"/>
      <c r="D42" s="23"/>
      <c r="E42" s="10" t="str">
        <f aca="false">IF($B42="","",IF(F42="Others",IFERROR(INDEX(Other_Register!$S$5:$S$304,MATCH($B42,Other_Register!$A$5:$A$304,0)),""),IF(F42="",  "","m")))</f>
        <v/>
      </c>
      <c r="F42" s="10" t="str">
        <f aca="false">IF($B42="","",IF(ISNUMBER(MATCH($B42,Drain_Register!$A$5:$A$304,0)),"Drain",IF(ISNUMBER(MATCH($B42,RW_Register!$A$5:$A$304,0)),"Ret. Wall",IF(ISNUMBER(MATCH($B42,Other_Register!$A$5:$A$304,0)),"Others",""))))</f>
        <v/>
      </c>
      <c r="G42" s="10" t="str">
        <f aca="false">IF($B42="","",IFERROR(INDEX(Drain_Register!$B$5:$B$304,MATCH($B42,Drain_Register!$A$5:$A$304,0)),IFERROR(INDEX(RW_Register!$B$5:$B$304,MATCH($B42,RW_Register!$A$5:$A$304,0)),IFERROR(INDEX(Other_Register!$B$5:$B$304,MATCH($B42,Other_Register!$A$5:$A$304,0)),"ID not found - check spelling"))))</f>
        <v/>
      </c>
      <c r="H42" s="10" t="str">
        <f aca="false">IF($B42="","",IFERROR(INDEX(Drain_Register!$R$5:$R$304,MATCH($B42,Drain_Register!$A$5:$A$304,0)),IFERROR(INDEX(RW_Register!$X$5:$X$304,MATCH($B42,RW_Register!$A$5:$A$304,0)),IFERROR(INDEX(Other_Register!$M$5:$M$304,MATCH($B42,Other_Register!$A$5:$A$304,0)),""))))</f>
        <v/>
      </c>
      <c r="I42" s="10" t="str">
        <f aca="false">IF($B42="","",IFERROR(INDEX(Drain_Register!$S$5:$S$304,MATCH($B42,Drain_Register!$A$5:$A$304,0)),IFERROR(INDEX(RW_Register!$Y$5:$Y$304,MATCH($B42,RW_Register!$A$5:$A$304,0)),IFERROR(INDEX(Other_Register!$N$5:$N$304,MATCH($B42,Other_Register!$A$5:$A$304,0)),""))))</f>
        <v/>
      </c>
      <c r="J42" s="10" t="str">
        <f aca="false">IF($B42="","",IFERROR(INDEX(Drain_Register!$T$5:$T$304,MATCH($B42,Drain_Register!$A$5:$A$304,0)),IFERROR(INDEX(RW_Register!$Z$5:$Z$304,MATCH($B42,RW_Register!$A$5:$A$304,0)),IFERROR(INDEX(Other_Register!$O$5:$O$304,MATCH($B42,Other_Register!$A$5:$A$304,0)),""))))</f>
        <v/>
      </c>
      <c r="K42" s="10" t="str">
        <f aca="false">IF($B42="","",IFERROR(INDEX(Drain_Register!$U$5:$U$304,MATCH($B42,Drain_Register!$A$5:$A$304,0)),IFERROR(INDEX(RW_Register!$AA$5:$AA$304,MATCH($B42,RW_Register!$A$5:$A$304,0)),IFERROR(INDEX(Other_Register!$P$5:$P$304,MATCH($B42,Other_Register!$A$5:$A$304,0)),""))))</f>
        <v/>
      </c>
      <c r="L42" s="21" t="str">
        <f aca="false">IF(OR($B42="",$D42=""),"",$D42*IFERROR(INDEX(Drain_Register!$X$5:$X$304,MATCH($B42,Drain_Register!$A$5:$A$304,0)),IFERROR(INDEX(RW_Register!$AD$5:$AD$304,MATCH($B42,RW_Register!$A$5:$A$304,0)),IFERROR(INDEX(Other_Register!$T$5:$T$304,MATCH($B42,Other_Register!$A$5:$A$304,0)),0))))</f>
        <v/>
      </c>
      <c r="M42" s="22" t="str">
        <f aca="false">IF(OR($B42="",$D42=""),"",$D42*IFERROR(INDEX(Drain_Register!$Y$5:$Y$304,MATCH($B42,Drain_Register!$A$5:$A$304,0)),IFERROR(INDEX(RW_Register!$AE$5:$AE$304,MATCH($B42,RW_Register!$A$5:$A$304,0)),IFERROR(INDEX(Other_Register!$U$5:$U$304,MATCH($B42,Other_Register!$A$5:$A$304,0)),0)))/1000)</f>
        <v/>
      </c>
      <c r="N42" s="21" t="str">
        <f aca="false">IF(OR($B42="",$D42=""),"",$D42*IFERROR(INDEX(Drain_Register!$Z$5:$Z$304,MATCH($B42,Drain_Register!$A$5:$A$304,0)),IFERROR(INDEX(RW_Register!$AF$5:$AF$304,MATCH($B42,RW_Register!$A$5:$A$304,0)),IFERROR(INDEX(Other_Register!$V$5:$V$304,MATCH($B42,Other_Register!$A$5:$A$304,0)),0))))</f>
        <v/>
      </c>
      <c r="O42" s="21" t="str">
        <f aca="false">IF(OR($B42="",$D42=""),"",$D42*IFERROR(INDEX(Drain_Register!$AA$5:$AA$304,MATCH($B42,Drain_Register!$A$5:$A$304,0)),IFERROR(INDEX(RW_Register!$AG$5:$AG$304,MATCH($B42,RW_Register!$A$5:$A$304,0)),IFERROR(INDEX(Other_Register!$W$5:$W$304,MATCH($B42,Other_Register!$A$5:$A$304,0)),0))))</f>
        <v/>
      </c>
      <c r="P42" s="10" t="str">
        <f aca="false">IF($B42="","",IF(F42="","ID not found",IF(I42&lt;&gt;"Approved","WARNING: status is "&amp;I42,IF(D42="","Enter length / qty","OK"))))</f>
        <v/>
      </c>
    </row>
    <row r="43" customFormat="false" ht="15" hidden="false" customHeight="false" outlineLevel="0" collapsed="false">
      <c r="A43" s="9"/>
      <c r="B43" s="9"/>
      <c r="C43" s="9"/>
      <c r="D43" s="23"/>
      <c r="E43" s="10" t="str">
        <f aca="false">IF($B43="","",IF(F43="Others",IFERROR(INDEX(Other_Register!$S$5:$S$304,MATCH($B43,Other_Register!$A$5:$A$304,0)),""),IF(F43="",  "","m")))</f>
        <v/>
      </c>
      <c r="F43" s="10" t="str">
        <f aca="false">IF($B43="","",IF(ISNUMBER(MATCH($B43,Drain_Register!$A$5:$A$304,0)),"Drain",IF(ISNUMBER(MATCH($B43,RW_Register!$A$5:$A$304,0)),"Ret. Wall",IF(ISNUMBER(MATCH($B43,Other_Register!$A$5:$A$304,0)),"Others",""))))</f>
        <v/>
      </c>
      <c r="G43" s="10" t="str">
        <f aca="false">IF($B43="","",IFERROR(INDEX(Drain_Register!$B$5:$B$304,MATCH($B43,Drain_Register!$A$5:$A$304,0)),IFERROR(INDEX(RW_Register!$B$5:$B$304,MATCH($B43,RW_Register!$A$5:$A$304,0)),IFERROR(INDEX(Other_Register!$B$5:$B$304,MATCH($B43,Other_Register!$A$5:$A$304,0)),"ID not found - check spelling"))))</f>
        <v/>
      </c>
      <c r="H43" s="10" t="str">
        <f aca="false">IF($B43="","",IFERROR(INDEX(Drain_Register!$R$5:$R$304,MATCH($B43,Drain_Register!$A$5:$A$304,0)),IFERROR(INDEX(RW_Register!$X$5:$X$304,MATCH($B43,RW_Register!$A$5:$A$304,0)),IFERROR(INDEX(Other_Register!$M$5:$M$304,MATCH($B43,Other_Register!$A$5:$A$304,0)),""))))</f>
        <v/>
      </c>
      <c r="I43" s="10" t="str">
        <f aca="false">IF($B43="","",IFERROR(INDEX(Drain_Register!$S$5:$S$304,MATCH($B43,Drain_Register!$A$5:$A$304,0)),IFERROR(INDEX(RW_Register!$Y$5:$Y$304,MATCH($B43,RW_Register!$A$5:$A$304,0)),IFERROR(INDEX(Other_Register!$N$5:$N$304,MATCH($B43,Other_Register!$A$5:$A$304,0)),""))))</f>
        <v/>
      </c>
      <c r="J43" s="10" t="str">
        <f aca="false">IF($B43="","",IFERROR(INDEX(Drain_Register!$T$5:$T$304,MATCH($B43,Drain_Register!$A$5:$A$304,0)),IFERROR(INDEX(RW_Register!$Z$5:$Z$304,MATCH($B43,RW_Register!$A$5:$A$304,0)),IFERROR(INDEX(Other_Register!$O$5:$O$304,MATCH($B43,Other_Register!$A$5:$A$304,0)),""))))</f>
        <v/>
      </c>
      <c r="K43" s="10" t="str">
        <f aca="false">IF($B43="","",IFERROR(INDEX(Drain_Register!$U$5:$U$304,MATCH($B43,Drain_Register!$A$5:$A$304,0)),IFERROR(INDEX(RW_Register!$AA$5:$AA$304,MATCH($B43,RW_Register!$A$5:$A$304,0)),IFERROR(INDEX(Other_Register!$P$5:$P$304,MATCH($B43,Other_Register!$A$5:$A$304,0)),""))))</f>
        <v/>
      </c>
      <c r="L43" s="21" t="str">
        <f aca="false">IF(OR($B43="",$D43=""),"",$D43*IFERROR(INDEX(Drain_Register!$X$5:$X$304,MATCH($B43,Drain_Register!$A$5:$A$304,0)),IFERROR(INDEX(RW_Register!$AD$5:$AD$304,MATCH($B43,RW_Register!$A$5:$A$304,0)),IFERROR(INDEX(Other_Register!$T$5:$T$304,MATCH($B43,Other_Register!$A$5:$A$304,0)),0))))</f>
        <v/>
      </c>
      <c r="M43" s="22" t="str">
        <f aca="false">IF(OR($B43="",$D43=""),"",$D43*IFERROR(INDEX(Drain_Register!$Y$5:$Y$304,MATCH($B43,Drain_Register!$A$5:$A$304,0)),IFERROR(INDEX(RW_Register!$AE$5:$AE$304,MATCH($B43,RW_Register!$A$5:$A$304,0)),IFERROR(INDEX(Other_Register!$U$5:$U$304,MATCH($B43,Other_Register!$A$5:$A$304,0)),0)))/1000)</f>
        <v/>
      </c>
      <c r="N43" s="21" t="str">
        <f aca="false">IF(OR($B43="",$D43=""),"",$D43*IFERROR(INDEX(Drain_Register!$Z$5:$Z$304,MATCH($B43,Drain_Register!$A$5:$A$304,0)),IFERROR(INDEX(RW_Register!$AF$5:$AF$304,MATCH($B43,RW_Register!$A$5:$A$304,0)),IFERROR(INDEX(Other_Register!$V$5:$V$304,MATCH($B43,Other_Register!$A$5:$A$304,0)),0))))</f>
        <v/>
      </c>
      <c r="O43" s="21" t="str">
        <f aca="false">IF(OR($B43="",$D43=""),"",$D43*IFERROR(INDEX(Drain_Register!$AA$5:$AA$304,MATCH($B43,Drain_Register!$A$5:$A$304,0)),IFERROR(INDEX(RW_Register!$AG$5:$AG$304,MATCH($B43,RW_Register!$A$5:$A$304,0)),IFERROR(INDEX(Other_Register!$W$5:$W$304,MATCH($B43,Other_Register!$A$5:$A$304,0)),0))))</f>
        <v/>
      </c>
      <c r="P43" s="10" t="str">
        <f aca="false">IF($B43="","",IF(F43="","ID not found",IF(I43&lt;&gt;"Approved","WARNING: status is "&amp;I43,IF(D43="","Enter length / qty","OK"))))</f>
        <v/>
      </c>
    </row>
    <row r="44" customFormat="false" ht="15" hidden="false" customHeight="false" outlineLevel="0" collapsed="false">
      <c r="A44" s="9"/>
      <c r="B44" s="9"/>
      <c r="C44" s="9"/>
      <c r="D44" s="23"/>
      <c r="E44" s="10" t="str">
        <f aca="false">IF($B44="","",IF(F44="Others",IFERROR(INDEX(Other_Register!$S$5:$S$304,MATCH($B44,Other_Register!$A$5:$A$304,0)),""),IF(F44="",  "","m")))</f>
        <v/>
      </c>
      <c r="F44" s="10" t="str">
        <f aca="false">IF($B44="","",IF(ISNUMBER(MATCH($B44,Drain_Register!$A$5:$A$304,0)),"Drain",IF(ISNUMBER(MATCH($B44,RW_Register!$A$5:$A$304,0)),"Ret. Wall",IF(ISNUMBER(MATCH($B44,Other_Register!$A$5:$A$304,0)),"Others",""))))</f>
        <v/>
      </c>
      <c r="G44" s="10" t="str">
        <f aca="false">IF($B44="","",IFERROR(INDEX(Drain_Register!$B$5:$B$304,MATCH($B44,Drain_Register!$A$5:$A$304,0)),IFERROR(INDEX(RW_Register!$B$5:$B$304,MATCH($B44,RW_Register!$A$5:$A$304,0)),IFERROR(INDEX(Other_Register!$B$5:$B$304,MATCH($B44,Other_Register!$A$5:$A$304,0)),"ID not found - check spelling"))))</f>
        <v/>
      </c>
      <c r="H44" s="10" t="str">
        <f aca="false">IF($B44="","",IFERROR(INDEX(Drain_Register!$R$5:$R$304,MATCH($B44,Drain_Register!$A$5:$A$304,0)),IFERROR(INDEX(RW_Register!$X$5:$X$304,MATCH($B44,RW_Register!$A$5:$A$304,0)),IFERROR(INDEX(Other_Register!$M$5:$M$304,MATCH($B44,Other_Register!$A$5:$A$304,0)),""))))</f>
        <v/>
      </c>
      <c r="I44" s="10" t="str">
        <f aca="false">IF($B44="","",IFERROR(INDEX(Drain_Register!$S$5:$S$304,MATCH($B44,Drain_Register!$A$5:$A$304,0)),IFERROR(INDEX(RW_Register!$Y$5:$Y$304,MATCH($B44,RW_Register!$A$5:$A$304,0)),IFERROR(INDEX(Other_Register!$N$5:$N$304,MATCH($B44,Other_Register!$A$5:$A$304,0)),""))))</f>
        <v/>
      </c>
      <c r="J44" s="10" t="str">
        <f aca="false">IF($B44="","",IFERROR(INDEX(Drain_Register!$T$5:$T$304,MATCH($B44,Drain_Register!$A$5:$A$304,0)),IFERROR(INDEX(RW_Register!$Z$5:$Z$304,MATCH($B44,RW_Register!$A$5:$A$304,0)),IFERROR(INDEX(Other_Register!$O$5:$O$304,MATCH($B44,Other_Register!$A$5:$A$304,0)),""))))</f>
        <v/>
      </c>
      <c r="K44" s="10" t="str">
        <f aca="false">IF($B44="","",IFERROR(INDEX(Drain_Register!$U$5:$U$304,MATCH($B44,Drain_Register!$A$5:$A$304,0)),IFERROR(INDEX(RW_Register!$AA$5:$AA$304,MATCH($B44,RW_Register!$A$5:$A$304,0)),IFERROR(INDEX(Other_Register!$P$5:$P$304,MATCH($B44,Other_Register!$A$5:$A$304,0)),""))))</f>
        <v/>
      </c>
      <c r="L44" s="21" t="str">
        <f aca="false">IF(OR($B44="",$D44=""),"",$D44*IFERROR(INDEX(Drain_Register!$X$5:$X$304,MATCH($B44,Drain_Register!$A$5:$A$304,0)),IFERROR(INDEX(RW_Register!$AD$5:$AD$304,MATCH($B44,RW_Register!$A$5:$A$304,0)),IFERROR(INDEX(Other_Register!$T$5:$T$304,MATCH($B44,Other_Register!$A$5:$A$304,0)),0))))</f>
        <v/>
      </c>
      <c r="M44" s="22" t="str">
        <f aca="false">IF(OR($B44="",$D44=""),"",$D44*IFERROR(INDEX(Drain_Register!$Y$5:$Y$304,MATCH($B44,Drain_Register!$A$5:$A$304,0)),IFERROR(INDEX(RW_Register!$AE$5:$AE$304,MATCH($B44,RW_Register!$A$5:$A$304,0)),IFERROR(INDEX(Other_Register!$U$5:$U$304,MATCH($B44,Other_Register!$A$5:$A$304,0)),0)))/1000)</f>
        <v/>
      </c>
      <c r="N44" s="21" t="str">
        <f aca="false">IF(OR($B44="",$D44=""),"",$D44*IFERROR(INDEX(Drain_Register!$Z$5:$Z$304,MATCH($B44,Drain_Register!$A$5:$A$304,0)),IFERROR(INDEX(RW_Register!$AF$5:$AF$304,MATCH($B44,RW_Register!$A$5:$A$304,0)),IFERROR(INDEX(Other_Register!$V$5:$V$304,MATCH($B44,Other_Register!$A$5:$A$304,0)),0))))</f>
        <v/>
      </c>
      <c r="O44" s="21" t="str">
        <f aca="false">IF(OR($B44="",$D44=""),"",$D44*IFERROR(INDEX(Drain_Register!$AA$5:$AA$304,MATCH($B44,Drain_Register!$A$5:$A$304,0)),IFERROR(INDEX(RW_Register!$AG$5:$AG$304,MATCH($B44,RW_Register!$A$5:$A$304,0)),IFERROR(INDEX(Other_Register!$W$5:$W$304,MATCH($B44,Other_Register!$A$5:$A$304,0)),0))))</f>
        <v/>
      </c>
      <c r="P44" s="10" t="str">
        <f aca="false">IF($B44="","",IF(F44="","ID not found",IF(I44&lt;&gt;"Approved","WARNING: status is "&amp;I44,IF(D44="","Enter length / qty","OK"))))</f>
        <v/>
      </c>
    </row>
    <row r="45" customFormat="false" ht="15" hidden="false" customHeight="false" outlineLevel="0" collapsed="false">
      <c r="A45" s="9"/>
      <c r="B45" s="9"/>
      <c r="C45" s="9"/>
      <c r="D45" s="23"/>
      <c r="E45" s="10" t="str">
        <f aca="false">IF($B45="","",IF(F45="Others",IFERROR(INDEX(Other_Register!$S$5:$S$304,MATCH($B45,Other_Register!$A$5:$A$304,0)),""),IF(F45="",  "","m")))</f>
        <v/>
      </c>
      <c r="F45" s="10" t="str">
        <f aca="false">IF($B45="","",IF(ISNUMBER(MATCH($B45,Drain_Register!$A$5:$A$304,0)),"Drain",IF(ISNUMBER(MATCH($B45,RW_Register!$A$5:$A$304,0)),"Ret. Wall",IF(ISNUMBER(MATCH($B45,Other_Register!$A$5:$A$304,0)),"Others",""))))</f>
        <v/>
      </c>
      <c r="G45" s="10" t="str">
        <f aca="false">IF($B45="","",IFERROR(INDEX(Drain_Register!$B$5:$B$304,MATCH($B45,Drain_Register!$A$5:$A$304,0)),IFERROR(INDEX(RW_Register!$B$5:$B$304,MATCH($B45,RW_Register!$A$5:$A$304,0)),IFERROR(INDEX(Other_Register!$B$5:$B$304,MATCH($B45,Other_Register!$A$5:$A$304,0)),"ID not found - check spelling"))))</f>
        <v/>
      </c>
      <c r="H45" s="10" t="str">
        <f aca="false">IF($B45="","",IFERROR(INDEX(Drain_Register!$R$5:$R$304,MATCH($B45,Drain_Register!$A$5:$A$304,0)),IFERROR(INDEX(RW_Register!$X$5:$X$304,MATCH($B45,RW_Register!$A$5:$A$304,0)),IFERROR(INDEX(Other_Register!$M$5:$M$304,MATCH($B45,Other_Register!$A$5:$A$304,0)),""))))</f>
        <v/>
      </c>
      <c r="I45" s="10" t="str">
        <f aca="false">IF($B45="","",IFERROR(INDEX(Drain_Register!$S$5:$S$304,MATCH($B45,Drain_Register!$A$5:$A$304,0)),IFERROR(INDEX(RW_Register!$Y$5:$Y$304,MATCH($B45,RW_Register!$A$5:$A$304,0)),IFERROR(INDEX(Other_Register!$N$5:$N$304,MATCH($B45,Other_Register!$A$5:$A$304,0)),""))))</f>
        <v/>
      </c>
      <c r="J45" s="10" t="str">
        <f aca="false">IF($B45="","",IFERROR(INDEX(Drain_Register!$T$5:$T$304,MATCH($B45,Drain_Register!$A$5:$A$304,0)),IFERROR(INDEX(RW_Register!$Z$5:$Z$304,MATCH($B45,RW_Register!$A$5:$A$304,0)),IFERROR(INDEX(Other_Register!$O$5:$O$304,MATCH($B45,Other_Register!$A$5:$A$304,0)),""))))</f>
        <v/>
      </c>
      <c r="K45" s="10" t="str">
        <f aca="false">IF($B45="","",IFERROR(INDEX(Drain_Register!$U$5:$U$304,MATCH($B45,Drain_Register!$A$5:$A$304,0)),IFERROR(INDEX(RW_Register!$AA$5:$AA$304,MATCH($B45,RW_Register!$A$5:$A$304,0)),IFERROR(INDEX(Other_Register!$P$5:$P$304,MATCH($B45,Other_Register!$A$5:$A$304,0)),""))))</f>
        <v/>
      </c>
      <c r="L45" s="21" t="str">
        <f aca="false">IF(OR($B45="",$D45=""),"",$D45*IFERROR(INDEX(Drain_Register!$X$5:$X$304,MATCH($B45,Drain_Register!$A$5:$A$304,0)),IFERROR(INDEX(RW_Register!$AD$5:$AD$304,MATCH($B45,RW_Register!$A$5:$A$304,0)),IFERROR(INDEX(Other_Register!$T$5:$T$304,MATCH($B45,Other_Register!$A$5:$A$304,0)),0))))</f>
        <v/>
      </c>
      <c r="M45" s="22" t="str">
        <f aca="false">IF(OR($B45="",$D45=""),"",$D45*IFERROR(INDEX(Drain_Register!$Y$5:$Y$304,MATCH($B45,Drain_Register!$A$5:$A$304,0)),IFERROR(INDEX(RW_Register!$AE$5:$AE$304,MATCH($B45,RW_Register!$A$5:$A$304,0)),IFERROR(INDEX(Other_Register!$U$5:$U$304,MATCH($B45,Other_Register!$A$5:$A$304,0)),0)))/1000)</f>
        <v/>
      </c>
      <c r="N45" s="21" t="str">
        <f aca="false">IF(OR($B45="",$D45=""),"",$D45*IFERROR(INDEX(Drain_Register!$Z$5:$Z$304,MATCH($B45,Drain_Register!$A$5:$A$304,0)),IFERROR(INDEX(RW_Register!$AF$5:$AF$304,MATCH($B45,RW_Register!$A$5:$A$304,0)),IFERROR(INDEX(Other_Register!$V$5:$V$304,MATCH($B45,Other_Register!$A$5:$A$304,0)),0))))</f>
        <v/>
      </c>
      <c r="O45" s="21" t="str">
        <f aca="false">IF(OR($B45="",$D45=""),"",$D45*IFERROR(INDEX(Drain_Register!$AA$5:$AA$304,MATCH($B45,Drain_Register!$A$5:$A$304,0)),IFERROR(INDEX(RW_Register!$AG$5:$AG$304,MATCH($B45,RW_Register!$A$5:$A$304,0)),IFERROR(INDEX(Other_Register!$W$5:$W$304,MATCH($B45,Other_Register!$A$5:$A$304,0)),0))))</f>
        <v/>
      </c>
      <c r="P45" s="10" t="str">
        <f aca="false">IF($B45="","",IF(F45="","ID not found",IF(I45&lt;&gt;"Approved","WARNING: status is "&amp;I45,IF(D45="","Enter length / qty","OK"))))</f>
        <v/>
      </c>
    </row>
    <row r="46" customFormat="false" ht="15" hidden="false" customHeight="false" outlineLevel="0" collapsed="false">
      <c r="A46" s="9"/>
      <c r="B46" s="9"/>
      <c r="C46" s="9"/>
      <c r="D46" s="23"/>
      <c r="E46" s="10" t="str">
        <f aca="false">IF($B46="","",IF(F46="Others",IFERROR(INDEX(Other_Register!$S$5:$S$304,MATCH($B46,Other_Register!$A$5:$A$304,0)),""),IF(F46="",  "","m")))</f>
        <v/>
      </c>
      <c r="F46" s="10" t="str">
        <f aca="false">IF($B46="","",IF(ISNUMBER(MATCH($B46,Drain_Register!$A$5:$A$304,0)),"Drain",IF(ISNUMBER(MATCH($B46,RW_Register!$A$5:$A$304,0)),"Ret. Wall",IF(ISNUMBER(MATCH($B46,Other_Register!$A$5:$A$304,0)),"Others",""))))</f>
        <v/>
      </c>
      <c r="G46" s="10" t="str">
        <f aca="false">IF($B46="","",IFERROR(INDEX(Drain_Register!$B$5:$B$304,MATCH($B46,Drain_Register!$A$5:$A$304,0)),IFERROR(INDEX(RW_Register!$B$5:$B$304,MATCH($B46,RW_Register!$A$5:$A$304,0)),IFERROR(INDEX(Other_Register!$B$5:$B$304,MATCH($B46,Other_Register!$A$5:$A$304,0)),"ID not found - check spelling"))))</f>
        <v/>
      </c>
      <c r="H46" s="10" t="str">
        <f aca="false">IF($B46="","",IFERROR(INDEX(Drain_Register!$R$5:$R$304,MATCH($B46,Drain_Register!$A$5:$A$304,0)),IFERROR(INDEX(RW_Register!$X$5:$X$304,MATCH($B46,RW_Register!$A$5:$A$304,0)),IFERROR(INDEX(Other_Register!$M$5:$M$304,MATCH($B46,Other_Register!$A$5:$A$304,0)),""))))</f>
        <v/>
      </c>
      <c r="I46" s="10" t="str">
        <f aca="false">IF($B46="","",IFERROR(INDEX(Drain_Register!$S$5:$S$304,MATCH($B46,Drain_Register!$A$5:$A$304,0)),IFERROR(INDEX(RW_Register!$Y$5:$Y$304,MATCH($B46,RW_Register!$A$5:$A$304,0)),IFERROR(INDEX(Other_Register!$N$5:$N$304,MATCH($B46,Other_Register!$A$5:$A$304,0)),""))))</f>
        <v/>
      </c>
      <c r="J46" s="10" t="str">
        <f aca="false">IF($B46="","",IFERROR(INDEX(Drain_Register!$T$5:$T$304,MATCH($B46,Drain_Register!$A$5:$A$304,0)),IFERROR(INDEX(RW_Register!$Z$5:$Z$304,MATCH($B46,RW_Register!$A$5:$A$304,0)),IFERROR(INDEX(Other_Register!$O$5:$O$304,MATCH($B46,Other_Register!$A$5:$A$304,0)),""))))</f>
        <v/>
      </c>
      <c r="K46" s="10" t="str">
        <f aca="false">IF($B46="","",IFERROR(INDEX(Drain_Register!$U$5:$U$304,MATCH($B46,Drain_Register!$A$5:$A$304,0)),IFERROR(INDEX(RW_Register!$AA$5:$AA$304,MATCH($B46,RW_Register!$A$5:$A$304,0)),IFERROR(INDEX(Other_Register!$P$5:$P$304,MATCH($B46,Other_Register!$A$5:$A$304,0)),""))))</f>
        <v/>
      </c>
      <c r="L46" s="21" t="str">
        <f aca="false">IF(OR($B46="",$D46=""),"",$D46*IFERROR(INDEX(Drain_Register!$X$5:$X$304,MATCH($B46,Drain_Register!$A$5:$A$304,0)),IFERROR(INDEX(RW_Register!$AD$5:$AD$304,MATCH($B46,RW_Register!$A$5:$A$304,0)),IFERROR(INDEX(Other_Register!$T$5:$T$304,MATCH($B46,Other_Register!$A$5:$A$304,0)),0))))</f>
        <v/>
      </c>
      <c r="M46" s="22" t="str">
        <f aca="false">IF(OR($B46="",$D46=""),"",$D46*IFERROR(INDEX(Drain_Register!$Y$5:$Y$304,MATCH($B46,Drain_Register!$A$5:$A$304,0)),IFERROR(INDEX(RW_Register!$AE$5:$AE$304,MATCH($B46,RW_Register!$A$5:$A$304,0)),IFERROR(INDEX(Other_Register!$U$5:$U$304,MATCH($B46,Other_Register!$A$5:$A$304,0)),0)))/1000)</f>
        <v/>
      </c>
      <c r="N46" s="21" t="str">
        <f aca="false">IF(OR($B46="",$D46=""),"",$D46*IFERROR(INDEX(Drain_Register!$Z$5:$Z$304,MATCH($B46,Drain_Register!$A$5:$A$304,0)),IFERROR(INDEX(RW_Register!$AF$5:$AF$304,MATCH($B46,RW_Register!$A$5:$A$304,0)),IFERROR(INDEX(Other_Register!$V$5:$V$304,MATCH($B46,Other_Register!$A$5:$A$304,0)),0))))</f>
        <v/>
      </c>
      <c r="O46" s="21" t="str">
        <f aca="false">IF(OR($B46="",$D46=""),"",$D46*IFERROR(INDEX(Drain_Register!$AA$5:$AA$304,MATCH($B46,Drain_Register!$A$5:$A$304,0)),IFERROR(INDEX(RW_Register!$AG$5:$AG$304,MATCH($B46,RW_Register!$A$5:$A$304,0)),IFERROR(INDEX(Other_Register!$W$5:$W$304,MATCH($B46,Other_Register!$A$5:$A$304,0)),0))))</f>
        <v/>
      </c>
      <c r="P46" s="10" t="str">
        <f aca="false">IF($B46="","",IF(F46="","ID not found",IF(I46&lt;&gt;"Approved","WARNING: status is "&amp;I46,IF(D46="","Enter length / qty","OK"))))</f>
        <v/>
      </c>
    </row>
    <row r="47" customFormat="false" ht="15" hidden="false" customHeight="false" outlineLevel="0" collapsed="false">
      <c r="A47" s="9"/>
      <c r="B47" s="9"/>
      <c r="C47" s="9"/>
      <c r="D47" s="23"/>
      <c r="E47" s="10" t="str">
        <f aca="false">IF($B47="","",IF(F47="Others",IFERROR(INDEX(Other_Register!$S$5:$S$304,MATCH($B47,Other_Register!$A$5:$A$304,0)),""),IF(F47="",  "","m")))</f>
        <v/>
      </c>
      <c r="F47" s="10" t="str">
        <f aca="false">IF($B47="","",IF(ISNUMBER(MATCH($B47,Drain_Register!$A$5:$A$304,0)),"Drain",IF(ISNUMBER(MATCH($B47,RW_Register!$A$5:$A$304,0)),"Ret. Wall",IF(ISNUMBER(MATCH($B47,Other_Register!$A$5:$A$304,0)),"Others",""))))</f>
        <v/>
      </c>
      <c r="G47" s="10" t="str">
        <f aca="false">IF($B47="","",IFERROR(INDEX(Drain_Register!$B$5:$B$304,MATCH($B47,Drain_Register!$A$5:$A$304,0)),IFERROR(INDEX(RW_Register!$B$5:$B$304,MATCH($B47,RW_Register!$A$5:$A$304,0)),IFERROR(INDEX(Other_Register!$B$5:$B$304,MATCH($B47,Other_Register!$A$5:$A$304,0)),"ID not found - check spelling"))))</f>
        <v/>
      </c>
      <c r="H47" s="10" t="str">
        <f aca="false">IF($B47="","",IFERROR(INDEX(Drain_Register!$R$5:$R$304,MATCH($B47,Drain_Register!$A$5:$A$304,0)),IFERROR(INDEX(RW_Register!$X$5:$X$304,MATCH($B47,RW_Register!$A$5:$A$304,0)),IFERROR(INDEX(Other_Register!$M$5:$M$304,MATCH($B47,Other_Register!$A$5:$A$304,0)),""))))</f>
        <v/>
      </c>
      <c r="I47" s="10" t="str">
        <f aca="false">IF($B47="","",IFERROR(INDEX(Drain_Register!$S$5:$S$304,MATCH($B47,Drain_Register!$A$5:$A$304,0)),IFERROR(INDEX(RW_Register!$Y$5:$Y$304,MATCH($B47,RW_Register!$A$5:$A$304,0)),IFERROR(INDEX(Other_Register!$N$5:$N$304,MATCH($B47,Other_Register!$A$5:$A$304,0)),""))))</f>
        <v/>
      </c>
      <c r="J47" s="10" t="str">
        <f aca="false">IF($B47="","",IFERROR(INDEX(Drain_Register!$T$5:$T$304,MATCH($B47,Drain_Register!$A$5:$A$304,0)),IFERROR(INDEX(RW_Register!$Z$5:$Z$304,MATCH($B47,RW_Register!$A$5:$A$304,0)),IFERROR(INDEX(Other_Register!$O$5:$O$304,MATCH($B47,Other_Register!$A$5:$A$304,0)),""))))</f>
        <v/>
      </c>
      <c r="K47" s="10" t="str">
        <f aca="false">IF($B47="","",IFERROR(INDEX(Drain_Register!$U$5:$U$304,MATCH($B47,Drain_Register!$A$5:$A$304,0)),IFERROR(INDEX(RW_Register!$AA$5:$AA$304,MATCH($B47,RW_Register!$A$5:$A$304,0)),IFERROR(INDEX(Other_Register!$P$5:$P$304,MATCH($B47,Other_Register!$A$5:$A$304,0)),""))))</f>
        <v/>
      </c>
      <c r="L47" s="21" t="str">
        <f aca="false">IF(OR($B47="",$D47=""),"",$D47*IFERROR(INDEX(Drain_Register!$X$5:$X$304,MATCH($B47,Drain_Register!$A$5:$A$304,0)),IFERROR(INDEX(RW_Register!$AD$5:$AD$304,MATCH($B47,RW_Register!$A$5:$A$304,0)),IFERROR(INDEX(Other_Register!$T$5:$T$304,MATCH($B47,Other_Register!$A$5:$A$304,0)),0))))</f>
        <v/>
      </c>
      <c r="M47" s="22" t="str">
        <f aca="false">IF(OR($B47="",$D47=""),"",$D47*IFERROR(INDEX(Drain_Register!$Y$5:$Y$304,MATCH($B47,Drain_Register!$A$5:$A$304,0)),IFERROR(INDEX(RW_Register!$AE$5:$AE$304,MATCH($B47,RW_Register!$A$5:$A$304,0)),IFERROR(INDEX(Other_Register!$U$5:$U$304,MATCH($B47,Other_Register!$A$5:$A$304,0)),0)))/1000)</f>
        <v/>
      </c>
      <c r="N47" s="21" t="str">
        <f aca="false">IF(OR($B47="",$D47=""),"",$D47*IFERROR(INDEX(Drain_Register!$Z$5:$Z$304,MATCH($B47,Drain_Register!$A$5:$A$304,0)),IFERROR(INDEX(RW_Register!$AF$5:$AF$304,MATCH($B47,RW_Register!$A$5:$A$304,0)),IFERROR(INDEX(Other_Register!$V$5:$V$304,MATCH($B47,Other_Register!$A$5:$A$304,0)),0))))</f>
        <v/>
      </c>
      <c r="O47" s="21" t="str">
        <f aca="false">IF(OR($B47="",$D47=""),"",$D47*IFERROR(INDEX(Drain_Register!$AA$5:$AA$304,MATCH($B47,Drain_Register!$A$5:$A$304,0)),IFERROR(INDEX(RW_Register!$AG$5:$AG$304,MATCH($B47,RW_Register!$A$5:$A$304,0)),IFERROR(INDEX(Other_Register!$W$5:$W$304,MATCH($B47,Other_Register!$A$5:$A$304,0)),0))))</f>
        <v/>
      </c>
      <c r="P47" s="10" t="str">
        <f aca="false">IF($B47="","",IF(F47="","ID not found",IF(I47&lt;&gt;"Approved","WARNING: status is "&amp;I47,IF(D47="","Enter length / qty","OK"))))</f>
        <v/>
      </c>
    </row>
    <row r="48" customFormat="false" ht="15" hidden="false" customHeight="false" outlineLevel="0" collapsed="false">
      <c r="A48" s="9"/>
      <c r="B48" s="9"/>
      <c r="C48" s="9"/>
      <c r="D48" s="23"/>
      <c r="E48" s="10" t="str">
        <f aca="false">IF($B48="","",IF(F48="Others",IFERROR(INDEX(Other_Register!$S$5:$S$304,MATCH($B48,Other_Register!$A$5:$A$304,0)),""),IF(F48="",  "","m")))</f>
        <v/>
      </c>
      <c r="F48" s="10" t="str">
        <f aca="false">IF($B48="","",IF(ISNUMBER(MATCH($B48,Drain_Register!$A$5:$A$304,0)),"Drain",IF(ISNUMBER(MATCH($B48,RW_Register!$A$5:$A$304,0)),"Ret. Wall",IF(ISNUMBER(MATCH($B48,Other_Register!$A$5:$A$304,0)),"Others",""))))</f>
        <v/>
      </c>
      <c r="G48" s="10" t="str">
        <f aca="false">IF($B48="","",IFERROR(INDEX(Drain_Register!$B$5:$B$304,MATCH($B48,Drain_Register!$A$5:$A$304,0)),IFERROR(INDEX(RW_Register!$B$5:$B$304,MATCH($B48,RW_Register!$A$5:$A$304,0)),IFERROR(INDEX(Other_Register!$B$5:$B$304,MATCH($B48,Other_Register!$A$5:$A$304,0)),"ID not found - check spelling"))))</f>
        <v/>
      </c>
      <c r="H48" s="10" t="str">
        <f aca="false">IF($B48="","",IFERROR(INDEX(Drain_Register!$R$5:$R$304,MATCH($B48,Drain_Register!$A$5:$A$304,0)),IFERROR(INDEX(RW_Register!$X$5:$X$304,MATCH($B48,RW_Register!$A$5:$A$304,0)),IFERROR(INDEX(Other_Register!$M$5:$M$304,MATCH($B48,Other_Register!$A$5:$A$304,0)),""))))</f>
        <v/>
      </c>
      <c r="I48" s="10" t="str">
        <f aca="false">IF($B48="","",IFERROR(INDEX(Drain_Register!$S$5:$S$304,MATCH($B48,Drain_Register!$A$5:$A$304,0)),IFERROR(INDEX(RW_Register!$Y$5:$Y$304,MATCH($B48,RW_Register!$A$5:$A$304,0)),IFERROR(INDEX(Other_Register!$N$5:$N$304,MATCH($B48,Other_Register!$A$5:$A$304,0)),""))))</f>
        <v/>
      </c>
      <c r="J48" s="10" t="str">
        <f aca="false">IF($B48="","",IFERROR(INDEX(Drain_Register!$T$5:$T$304,MATCH($B48,Drain_Register!$A$5:$A$304,0)),IFERROR(INDEX(RW_Register!$Z$5:$Z$304,MATCH($B48,RW_Register!$A$5:$A$304,0)),IFERROR(INDEX(Other_Register!$O$5:$O$304,MATCH($B48,Other_Register!$A$5:$A$304,0)),""))))</f>
        <v/>
      </c>
      <c r="K48" s="10" t="str">
        <f aca="false">IF($B48="","",IFERROR(INDEX(Drain_Register!$U$5:$U$304,MATCH($B48,Drain_Register!$A$5:$A$304,0)),IFERROR(INDEX(RW_Register!$AA$5:$AA$304,MATCH($B48,RW_Register!$A$5:$A$304,0)),IFERROR(INDEX(Other_Register!$P$5:$P$304,MATCH($B48,Other_Register!$A$5:$A$304,0)),""))))</f>
        <v/>
      </c>
      <c r="L48" s="21" t="str">
        <f aca="false">IF(OR($B48="",$D48=""),"",$D48*IFERROR(INDEX(Drain_Register!$X$5:$X$304,MATCH($B48,Drain_Register!$A$5:$A$304,0)),IFERROR(INDEX(RW_Register!$AD$5:$AD$304,MATCH($B48,RW_Register!$A$5:$A$304,0)),IFERROR(INDEX(Other_Register!$T$5:$T$304,MATCH($B48,Other_Register!$A$5:$A$304,0)),0))))</f>
        <v/>
      </c>
      <c r="M48" s="22" t="str">
        <f aca="false">IF(OR($B48="",$D48=""),"",$D48*IFERROR(INDEX(Drain_Register!$Y$5:$Y$304,MATCH($B48,Drain_Register!$A$5:$A$304,0)),IFERROR(INDEX(RW_Register!$AE$5:$AE$304,MATCH($B48,RW_Register!$A$5:$A$304,0)),IFERROR(INDEX(Other_Register!$U$5:$U$304,MATCH($B48,Other_Register!$A$5:$A$304,0)),0)))/1000)</f>
        <v/>
      </c>
      <c r="N48" s="21" t="str">
        <f aca="false">IF(OR($B48="",$D48=""),"",$D48*IFERROR(INDEX(Drain_Register!$Z$5:$Z$304,MATCH($B48,Drain_Register!$A$5:$A$304,0)),IFERROR(INDEX(RW_Register!$AF$5:$AF$304,MATCH($B48,RW_Register!$A$5:$A$304,0)),IFERROR(INDEX(Other_Register!$V$5:$V$304,MATCH($B48,Other_Register!$A$5:$A$304,0)),0))))</f>
        <v/>
      </c>
      <c r="O48" s="21" t="str">
        <f aca="false">IF(OR($B48="",$D48=""),"",$D48*IFERROR(INDEX(Drain_Register!$AA$5:$AA$304,MATCH($B48,Drain_Register!$A$5:$A$304,0)),IFERROR(INDEX(RW_Register!$AG$5:$AG$304,MATCH($B48,RW_Register!$A$5:$A$304,0)),IFERROR(INDEX(Other_Register!$W$5:$W$304,MATCH($B48,Other_Register!$A$5:$A$304,0)),0))))</f>
        <v/>
      </c>
      <c r="P48" s="10" t="str">
        <f aca="false">IF($B48="","",IF(F48="","ID not found",IF(I48&lt;&gt;"Approved","WARNING: status is "&amp;I48,IF(D48="","Enter length / qty","OK"))))</f>
        <v/>
      </c>
    </row>
    <row r="49" customFormat="false" ht="15" hidden="false" customHeight="false" outlineLevel="0" collapsed="false">
      <c r="A49" s="9"/>
      <c r="B49" s="9"/>
      <c r="C49" s="9"/>
      <c r="D49" s="23"/>
      <c r="E49" s="10" t="str">
        <f aca="false">IF($B49="","",IF(F49="Others",IFERROR(INDEX(Other_Register!$S$5:$S$304,MATCH($B49,Other_Register!$A$5:$A$304,0)),""),IF(F49="",  "","m")))</f>
        <v/>
      </c>
      <c r="F49" s="10" t="str">
        <f aca="false">IF($B49="","",IF(ISNUMBER(MATCH($B49,Drain_Register!$A$5:$A$304,0)),"Drain",IF(ISNUMBER(MATCH($B49,RW_Register!$A$5:$A$304,0)),"Ret. Wall",IF(ISNUMBER(MATCH($B49,Other_Register!$A$5:$A$304,0)),"Others",""))))</f>
        <v/>
      </c>
      <c r="G49" s="10" t="str">
        <f aca="false">IF($B49="","",IFERROR(INDEX(Drain_Register!$B$5:$B$304,MATCH($B49,Drain_Register!$A$5:$A$304,0)),IFERROR(INDEX(RW_Register!$B$5:$B$304,MATCH($B49,RW_Register!$A$5:$A$304,0)),IFERROR(INDEX(Other_Register!$B$5:$B$304,MATCH($B49,Other_Register!$A$5:$A$304,0)),"ID not found - check spelling"))))</f>
        <v/>
      </c>
      <c r="H49" s="10" t="str">
        <f aca="false">IF($B49="","",IFERROR(INDEX(Drain_Register!$R$5:$R$304,MATCH($B49,Drain_Register!$A$5:$A$304,0)),IFERROR(INDEX(RW_Register!$X$5:$X$304,MATCH($B49,RW_Register!$A$5:$A$304,0)),IFERROR(INDEX(Other_Register!$M$5:$M$304,MATCH($B49,Other_Register!$A$5:$A$304,0)),""))))</f>
        <v/>
      </c>
      <c r="I49" s="10" t="str">
        <f aca="false">IF($B49="","",IFERROR(INDEX(Drain_Register!$S$5:$S$304,MATCH($B49,Drain_Register!$A$5:$A$304,0)),IFERROR(INDEX(RW_Register!$Y$5:$Y$304,MATCH($B49,RW_Register!$A$5:$A$304,0)),IFERROR(INDEX(Other_Register!$N$5:$N$304,MATCH($B49,Other_Register!$A$5:$A$304,0)),""))))</f>
        <v/>
      </c>
      <c r="J49" s="10" t="str">
        <f aca="false">IF($B49="","",IFERROR(INDEX(Drain_Register!$T$5:$T$304,MATCH($B49,Drain_Register!$A$5:$A$304,0)),IFERROR(INDEX(RW_Register!$Z$5:$Z$304,MATCH($B49,RW_Register!$A$5:$A$304,0)),IFERROR(INDEX(Other_Register!$O$5:$O$304,MATCH($B49,Other_Register!$A$5:$A$304,0)),""))))</f>
        <v/>
      </c>
      <c r="K49" s="10" t="str">
        <f aca="false">IF($B49="","",IFERROR(INDEX(Drain_Register!$U$5:$U$304,MATCH($B49,Drain_Register!$A$5:$A$304,0)),IFERROR(INDEX(RW_Register!$AA$5:$AA$304,MATCH($B49,RW_Register!$A$5:$A$304,0)),IFERROR(INDEX(Other_Register!$P$5:$P$304,MATCH($B49,Other_Register!$A$5:$A$304,0)),""))))</f>
        <v/>
      </c>
      <c r="L49" s="21" t="str">
        <f aca="false">IF(OR($B49="",$D49=""),"",$D49*IFERROR(INDEX(Drain_Register!$X$5:$X$304,MATCH($B49,Drain_Register!$A$5:$A$304,0)),IFERROR(INDEX(RW_Register!$AD$5:$AD$304,MATCH($B49,RW_Register!$A$5:$A$304,0)),IFERROR(INDEX(Other_Register!$T$5:$T$304,MATCH($B49,Other_Register!$A$5:$A$304,0)),0))))</f>
        <v/>
      </c>
      <c r="M49" s="22" t="str">
        <f aca="false">IF(OR($B49="",$D49=""),"",$D49*IFERROR(INDEX(Drain_Register!$Y$5:$Y$304,MATCH($B49,Drain_Register!$A$5:$A$304,0)),IFERROR(INDEX(RW_Register!$AE$5:$AE$304,MATCH($B49,RW_Register!$A$5:$A$304,0)),IFERROR(INDEX(Other_Register!$U$5:$U$304,MATCH($B49,Other_Register!$A$5:$A$304,0)),0)))/1000)</f>
        <v/>
      </c>
      <c r="N49" s="21" t="str">
        <f aca="false">IF(OR($B49="",$D49=""),"",$D49*IFERROR(INDEX(Drain_Register!$Z$5:$Z$304,MATCH($B49,Drain_Register!$A$5:$A$304,0)),IFERROR(INDEX(RW_Register!$AF$5:$AF$304,MATCH($B49,RW_Register!$A$5:$A$304,0)),IFERROR(INDEX(Other_Register!$V$5:$V$304,MATCH($B49,Other_Register!$A$5:$A$304,0)),0))))</f>
        <v/>
      </c>
      <c r="O49" s="21" t="str">
        <f aca="false">IF(OR($B49="",$D49=""),"",$D49*IFERROR(INDEX(Drain_Register!$AA$5:$AA$304,MATCH($B49,Drain_Register!$A$5:$A$304,0)),IFERROR(INDEX(RW_Register!$AG$5:$AG$304,MATCH($B49,RW_Register!$A$5:$A$304,0)),IFERROR(INDEX(Other_Register!$W$5:$W$304,MATCH($B49,Other_Register!$A$5:$A$304,0)),0))))</f>
        <v/>
      </c>
      <c r="P49" s="10" t="str">
        <f aca="false">IF($B49="","",IF(F49="","ID not found",IF(I49&lt;&gt;"Approved","WARNING: status is "&amp;I49,IF(D49="","Enter length / qty","OK"))))</f>
        <v/>
      </c>
    </row>
    <row r="50" customFormat="false" ht="15" hidden="false" customHeight="false" outlineLevel="0" collapsed="false">
      <c r="A50" s="9"/>
      <c r="B50" s="9"/>
      <c r="C50" s="9"/>
      <c r="D50" s="23"/>
      <c r="E50" s="10" t="str">
        <f aca="false">IF($B50="","",IF(F50="Others",IFERROR(INDEX(Other_Register!$S$5:$S$304,MATCH($B50,Other_Register!$A$5:$A$304,0)),""),IF(F50="",  "","m")))</f>
        <v/>
      </c>
      <c r="F50" s="10" t="str">
        <f aca="false">IF($B50="","",IF(ISNUMBER(MATCH($B50,Drain_Register!$A$5:$A$304,0)),"Drain",IF(ISNUMBER(MATCH($B50,RW_Register!$A$5:$A$304,0)),"Ret. Wall",IF(ISNUMBER(MATCH($B50,Other_Register!$A$5:$A$304,0)),"Others",""))))</f>
        <v/>
      </c>
      <c r="G50" s="10" t="str">
        <f aca="false">IF($B50="","",IFERROR(INDEX(Drain_Register!$B$5:$B$304,MATCH($B50,Drain_Register!$A$5:$A$304,0)),IFERROR(INDEX(RW_Register!$B$5:$B$304,MATCH($B50,RW_Register!$A$5:$A$304,0)),IFERROR(INDEX(Other_Register!$B$5:$B$304,MATCH($B50,Other_Register!$A$5:$A$304,0)),"ID not found - check spelling"))))</f>
        <v/>
      </c>
      <c r="H50" s="10" t="str">
        <f aca="false">IF($B50="","",IFERROR(INDEX(Drain_Register!$R$5:$R$304,MATCH($B50,Drain_Register!$A$5:$A$304,0)),IFERROR(INDEX(RW_Register!$X$5:$X$304,MATCH($B50,RW_Register!$A$5:$A$304,0)),IFERROR(INDEX(Other_Register!$M$5:$M$304,MATCH($B50,Other_Register!$A$5:$A$304,0)),""))))</f>
        <v/>
      </c>
      <c r="I50" s="10" t="str">
        <f aca="false">IF($B50="","",IFERROR(INDEX(Drain_Register!$S$5:$S$304,MATCH($B50,Drain_Register!$A$5:$A$304,0)),IFERROR(INDEX(RW_Register!$Y$5:$Y$304,MATCH($B50,RW_Register!$A$5:$A$304,0)),IFERROR(INDEX(Other_Register!$N$5:$N$304,MATCH($B50,Other_Register!$A$5:$A$304,0)),""))))</f>
        <v/>
      </c>
      <c r="J50" s="10" t="str">
        <f aca="false">IF($B50="","",IFERROR(INDEX(Drain_Register!$T$5:$T$304,MATCH($B50,Drain_Register!$A$5:$A$304,0)),IFERROR(INDEX(RW_Register!$Z$5:$Z$304,MATCH($B50,RW_Register!$A$5:$A$304,0)),IFERROR(INDEX(Other_Register!$O$5:$O$304,MATCH($B50,Other_Register!$A$5:$A$304,0)),""))))</f>
        <v/>
      </c>
      <c r="K50" s="10" t="str">
        <f aca="false">IF($B50="","",IFERROR(INDEX(Drain_Register!$U$5:$U$304,MATCH($B50,Drain_Register!$A$5:$A$304,0)),IFERROR(INDEX(RW_Register!$AA$5:$AA$304,MATCH($B50,RW_Register!$A$5:$A$304,0)),IFERROR(INDEX(Other_Register!$P$5:$P$304,MATCH($B50,Other_Register!$A$5:$A$304,0)),""))))</f>
        <v/>
      </c>
      <c r="L50" s="21" t="str">
        <f aca="false">IF(OR($B50="",$D50=""),"",$D50*IFERROR(INDEX(Drain_Register!$X$5:$X$304,MATCH($B50,Drain_Register!$A$5:$A$304,0)),IFERROR(INDEX(RW_Register!$AD$5:$AD$304,MATCH($B50,RW_Register!$A$5:$A$304,0)),IFERROR(INDEX(Other_Register!$T$5:$T$304,MATCH($B50,Other_Register!$A$5:$A$304,0)),0))))</f>
        <v/>
      </c>
      <c r="M50" s="22" t="str">
        <f aca="false">IF(OR($B50="",$D50=""),"",$D50*IFERROR(INDEX(Drain_Register!$Y$5:$Y$304,MATCH($B50,Drain_Register!$A$5:$A$304,0)),IFERROR(INDEX(RW_Register!$AE$5:$AE$304,MATCH($B50,RW_Register!$A$5:$A$304,0)),IFERROR(INDEX(Other_Register!$U$5:$U$304,MATCH($B50,Other_Register!$A$5:$A$304,0)),0)))/1000)</f>
        <v/>
      </c>
      <c r="N50" s="21" t="str">
        <f aca="false">IF(OR($B50="",$D50=""),"",$D50*IFERROR(INDEX(Drain_Register!$Z$5:$Z$304,MATCH($B50,Drain_Register!$A$5:$A$304,0)),IFERROR(INDEX(RW_Register!$AF$5:$AF$304,MATCH($B50,RW_Register!$A$5:$A$304,0)),IFERROR(INDEX(Other_Register!$V$5:$V$304,MATCH($B50,Other_Register!$A$5:$A$304,0)),0))))</f>
        <v/>
      </c>
      <c r="O50" s="21" t="str">
        <f aca="false">IF(OR($B50="",$D50=""),"",$D50*IFERROR(INDEX(Drain_Register!$AA$5:$AA$304,MATCH($B50,Drain_Register!$A$5:$A$304,0)),IFERROR(INDEX(RW_Register!$AG$5:$AG$304,MATCH($B50,RW_Register!$A$5:$A$304,0)),IFERROR(INDEX(Other_Register!$W$5:$W$304,MATCH($B50,Other_Register!$A$5:$A$304,0)),0))))</f>
        <v/>
      </c>
      <c r="P50" s="10" t="str">
        <f aca="false">IF($B50="","",IF(F50="","ID not found",IF(I50&lt;&gt;"Approved","WARNING: status is "&amp;I50,IF(D50="","Enter length / qty","OK"))))</f>
        <v/>
      </c>
    </row>
    <row r="51" customFormat="false" ht="15" hidden="false" customHeight="false" outlineLevel="0" collapsed="false">
      <c r="A51" s="9"/>
      <c r="B51" s="9"/>
      <c r="C51" s="9"/>
      <c r="D51" s="23"/>
      <c r="E51" s="10" t="str">
        <f aca="false">IF($B51="","",IF(F51="Others",IFERROR(INDEX(Other_Register!$S$5:$S$304,MATCH($B51,Other_Register!$A$5:$A$304,0)),""),IF(F51="",  "","m")))</f>
        <v/>
      </c>
      <c r="F51" s="10" t="str">
        <f aca="false">IF($B51="","",IF(ISNUMBER(MATCH($B51,Drain_Register!$A$5:$A$304,0)),"Drain",IF(ISNUMBER(MATCH($B51,RW_Register!$A$5:$A$304,0)),"Ret. Wall",IF(ISNUMBER(MATCH($B51,Other_Register!$A$5:$A$304,0)),"Others",""))))</f>
        <v/>
      </c>
      <c r="G51" s="10" t="str">
        <f aca="false">IF($B51="","",IFERROR(INDEX(Drain_Register!$B$5:$B$304,MATCH($B51,Drain_Register!$A$5:$A$304,0)),IFERROR(INDEX(RW_Register!$B$5:$B$304,MATCH($B51,RW_Register!$A$5:$A$304,0)),IFERROR(INDEX(Other_Register!$B$5:$B$304,MATCH($B51,Other_Register!$A$5:$A$304,0)),"ID not found - check spelling"))))</f>
        <v/>
      </c>
      <c r="H51" s="10" t="str">
        <f aca="false">IF($B51="","",IFERROR(INDEX(Drain_Register!$R$5:$R$304,MATCH($B51,Drain_Register!$A$5:$A$304,0)),IFERROR(INDEX(RW_Register!$X$5:$X$304,MATCH($B51,RW_Register!$A$5:$A$304,0)),IFERROR(INDEX(Other_Register!$M$5:$M$304,MATCH($B51,Other_Register!$A$5:$A$304,0)),""))))</f>
        <v/>
      </c>
      <c r="I51" s="10" t="str">
        <f aca="false">IF($B51="","",IFERROR(INDEX(Drain_Register!$S$5:$S$304,MATCH($B51,Drain_Register!$A$5:$A$304,0)),IFERROR(INDEX(RW_Register!$Y$5:$Y$304,MATCH($B51,RW_Register!$A$5:$A$304,0)),IFERROR(INDEX(Other_Register!$N$5:$N$304,MATCH($B51,Other_Register!$A$5:$A$304,0)),""))))</f>
        <v/>
      </c>
      <c r="J51" s="10" t="str">
        <f aca="false">IF($B51="","",IFERROR(INDEX(Drain_Register!$T$5:$T$304,MATCH($B51,Drain_Register!$A$5:$A$304,0)),IFERROR(INDEX(RW_Register!$Z$5:$Z$304,MATCH($B51,RW_Register!$A$5:$A$304,0)),IFERROR(INDEX(Other_Register!$O$5:$O$304,MATCH($B51,Other_Register!$A$5:$A$304,0)),""))))</f>
        <v/>
      </c>
      <c r="K51" s="10" t="str">
        <f aca="false">IF($B51="","",IFERROR(INDEX(Drain_Register!$U$5:$U$304,MATCH($B51,Drain_Register!$A$5:$A$304,0)),IFERROR(INDEX(RW_Register!$AA$5:$AA$304,MATCH($B51,RW_Register!$A$5:$A$304,0)),IFERROR(INDEX(Other_Register!$P$5:$P$304,MATCH($B51,Other_Register!$A$5:$A$304,0)),""))))</f>
        <v/>
      </c>
      <c r="L51" s="21" t="str">
        <f aca="false">IF(OR($B51="",$D51=""),"",$D51*IFERROR(INDEX(Drain_Register!$X$5:$X$304,MATCH($B51,Drain_Register!$A$5:$A$304,0)),IFERROR(INDEX(RW_Register!$AD$5:$AD$304,MATCH($B51,RW_Register!$A$5:$A$304,0)),IFERROR(INDEX(Other_Register!$T$5:$T$304,MATCH($B51,Other_Register!$A$5:$A$304,0)),0))))</f>
        <v/>
      </c>
      <c r="M51" s="22" t="str">
        <f aca="false">IF(OR($B51="",$D51=""),"",$D51*IFERROR(INDEX(Drain_Register!$Y$5:$Y$304,MATCH($B51,Drain_Register!$A$5:$A$304,0)),IFERROR(INDEX(RW_Register!$AE$5:$AE$304,MATCH($B51,RW_Register!$A$5:$A$304,0)),IFERROR(INDEX(Other_Register!$U$5:$U$304,MATCH($B51,Other_Register!$A$5:$A$304,0)),0)))/1000)</f>
        <v/>
      </c>
      <c r="N51" s="21" t="str">
        <f aca="false">IF(OR($B51="",$D51=""),"",$D51*IFERROR(INDEX(Drain_Register!$Z$5:$Z$304,MATCH($B51,Drain_Register!$A$5:$A$304,0)),IFERROR(INDEX(RW_Register!$AF$5:$AF$304,MATCH($B51,RW_Register!$A$5:$A$304,0)),IFERROR(INDEX(Other_Register!$V$5:$V$304,MATCH($B51,Other_Register!$A$5:$A$304,0)),0))))</f>
        <v/>
      </c>
      <c r="O51" s="21" t="str">
        <f aca="false">IF(OR($B51="",$D51=""),"",$D51*IFERROR(INDEX(Drain_Register!$AA$5:$AA$304,MATCH($B51,Drain_Register!$A$5:$A$304,0)),IFERROR(INDEX(RW_Register!$AG$5:$AG$304,MATCH($B51,RW_Register!$A$5:$A$304,0)),IFERROR(INDEX(Other_Register!$W$5:$W$304,MATCH($B51,Other_Register!$A$5:$A$304,0)),0))))</f>
        <v/>
      </c>
      <c r="P51" s="10" t="str">
        <f aca="false">IF($B51="","",IF(F51="","ID not found",IF(I51&lt;&gt;"Approved","WARNING: status is "&amp;I51,IF(D51="","Enter length / qty","OK"))))</f>
        <v/>
      </c>
    </row>
    <row r="52" customFormat="false" ht="15" hidden="false" customHeight="false" outlineLevel="0" collapsed="false">
      <c r="A52" s="9"/>
      <c r="B52" s="9"/>
      <c r="C52" s="9"/>
      <c r="D52" s="23"/>
      <c r="E52" s="10" t="str">
        <f aca="false">IF($B52="","",IF(F52="Others",IFERROR(INDEX(Other_Register!$S$5:$S$304,MATCH($B52,Other_Register!$A$5:$A$304,0)),""),IF(F52="",  "","m")))</f>
        <v/>
      </c>
      <c r="F52" s="10" t="str">
        <f aca="false">IF($B52="","",IF(ISNUMBER(MATCH($B52,Drain_Register!$A$5:$A$304,0)),"Drain",IF(ISNUMBER(MATCH($B52,RW_Register!$A$5:$A$304,0)),"Ret. Wall",IF(ISNUMBER(MATCH($B52,Other_Register!$A$5:$A$304,0)),"Others",""))))</f>
        <v/>
      </c>
      <c r="G52" s="10" t="str">
        <f aca="false">IF($B52="","",IFERROR(INDEX(Drain_Register!$B$5:$B$304,MATCH($B52,Drain_Register!$A$5:$A$304,0)),IFERROR(INDEX(RW_Register!$B$5:$B$304,MATCH($B52,RW_Register!$A$5:$A$304,0)),IFERROR(INDEX(Other_Register!$B$5:$B$304,MATCH($B52,Other_Register!$A$5:$A$304,0)),"ID not found - check spelling"))))</f>
        <v/>
      </c>
      <c r="H52" s="10" t="str">
        <f aca="false">IF($B52="","",IFERROR(INDEX(Drain_Register!$R$5:$R$304,MATCH($B52,Drain_Register!$A$5:$A$304,0)),IFERROR(INDEX(RW_Register!$X$5:$X$304,MATCH($B52,RW_Register!$A$5:$A$304,0)),IFERROR(INDEX(Other_Register!$M$5:$M$304,MATCH($B52,Other_Register!$A$5:$A$304,0)),""))))</f>
        <v/>
      </c>
      <c r="I52" s="10" t="str">
        <f aca="false">IF($B52="","",IFERROR(INDEX(Drain_Register!$S$5:$S$304,MATCH($B52,Drain_Register!$A$5:$A$304,0)),IFERROR(INDEX(RW_Register!$Y$5:$Y$304,MATCH($B52,RW_Register!$A$5:$A$304,0)),IFERROR(INDEX(Other_Register!$N$5:$N$304,MATCH($B52,Other_Register!$A$5:$A$304,0)),""))))</f>
        <v/>
      </c>
      <c r="J52" s="10" t="str">
        <f aca="false">IF($B52="","",IFERROR(INDEX(Drain_Register!$T$5:$T$304,MATCH($B52,Drain_Register!$A$5:$A$304,0)),IFERROR(INDEX(RW_Register!$Z$5:$Z$304,MATCH($B52,RW_Register!$A$5:$A$304,0)),IFERROR(INDEX(Other_Register!$O$5:$O$304,MATCH($B52,Other_Register!$A$5:$A$304,0)),""))))</f>
        <v/>
      </c>
      <c r="K52" s="10" t="str">
        <f aca="false">IF($B52="","",IFERROR(INDEX(Drain_Register!$U$5:$U$304,MATCH($B52,Drain_Register!$A$5:$A$304,0)),IFERROR(INDEX(RW_Register!$AA$5:$AA$304,MATCH($B52,RW_Register!$A$5:$A$304,0)),IFERROR(INDEX(Other_Register!$P$5:$P$304,MATCH($B52,Other_Register!$A$5:$A$304,0)),""))))</f>
        <v/>
      </c>
      <c r="L52" s="21" t="str">
        <f aca="false">IF(OR($B52="",$D52=""),"",$D52*IFERROR(INDEX(Drain_Register!$X$5:$X$304,MATCH($B52,Drain_Register!$A$5:$A$304,0)),IFERROR(INDEX(RW_Register!$AD$5:$AD$304,MATCH($B52,RW_Register!$A$5:$A$304,0)),IFERROR(INDEX(Other_Register!$T$5:$T$304,MATCH($B52,Other_Register!$A$5:$A$304,0)),0))))</f>
        <v/>
      </c>
      <c r="M52" s="22" t="str">
        <f aca="false">IF(OR($B52="",$D52=""),"",$D52*IFERROR(INDEX(Drain_Register!$Y$5:$Y$304,MATCH($B52,Drain_Register!$A$5:$A$304,0)),IFERROR(INDEX(RW_Register!$AE$5:$AE$304,MATCH($B52,RW_Register!$A$5:$A$304,0)),IFERROR(INDEX(Other_Register!$U$5:$U$304,MATCH($B52,Other_Register!$A$5:$A$304,0)),0)))/1000)</f>
        <v/>
      </c>
      <c r="N52" s="21" t="str">
        <f aca="false">IF(OR($B52="",$D52=""),"",$D52*IFERROR(INDEX(Drain_Register!$Z$5:$Z$304,MATCH($B52,Drain_Register!$A$5:$A$304,0)),IFERROR(INDEX(RW_Register!$AF$5:$AF$304,MATCH($B52,RW_Register!$A$5:$A$304,0)),IFERROR(INDEX(Other_Register!$V$5:$V$304,MATCH($B52,Other_Register!$A$5:$A$304,0)),0))))</f>
        <v/>
      </c>
      <c r="O52" s="21" t="str">
        <f aca="false">IF(OR($B52="",$D52=""),"",$D52*IFERROR(INDEX(Drain_Register!$AA$5:$AA$304,MATCH($B52,Drain_Register!$A$5:$A$304,0)),IFERROR(INDEX(RW_Register!$AG$5:$AG$304,MATCH($B52,RW_Register!$A$5:$A$304,0)),IFERROR(INDEX(Other_Register!$W$5:$W$304,MATCH($B52,Other_Register!$A$5:$A$304,0)),0))))</f>
        <v/>
      </c>
      <c r="P52" s="10" t="str">
        <f aca="false">IF($B52="","",IF(F52="","ID not found",IF(I52&lt;&gt;"Approved","WARNING: status is "&amp;I52,IF(D52="","Enter length / qty","OK"))))</f>
        <v/>
      </c>
    </row>
    <row r="53" customFormat="false" ht="15" hidden="false" customHeight="false" outlineLevel="0" collapsed="false">
      <c r="A53" s="9"/>
      <c r="B53" s="9"/>
      <c r="C53" s="9"/>
      <c r="D53" s="23"/>
      <c r="E53" s="10" t="str">
        <f aca="false">IF($B53="","",IF(F53="Others",IFERROR(INDEX(Other_Register!$S$5:$S$304,MATCH($B53,Other_Register!$A$5:$A$304,0)),""),IF(F53="",  "","m")))</f>
        <v/>
      </c>
      <c r="F53" s="10" t="str">
        <f aca="false">IF($B53="","",IF(ISNUMBER(MATCH($B53,Drain_Register!$A$5:$A$304,0)),"Drain",IF(ISNUMBER(MATCH($B53,RW_Register!$A$5:$A$304,0)),"Ret. Wall",IF(ISNUMBER(MATCH($B53,Other_Register!$A$5:$A$304,0)),"Others",""))))</f>
        <v/>
      </c>
      <c r="G53" s="10" t="str">
        <f aca="false">IF($B53="","",IFERROR(INDEX(Drain_Register!$B$5:$B$304,MATCH($B53,Drain_Register!$A$5:$A$304,0)),IFERROR(INDEX(RW_Register!$B$5:$B$304,MATCH($B53,RW_Register!$A$5:$A$304,0)),IFERROR(INDEX(Other_Register!$B$5:$B$304,MATCH($B53,Other_Register!$A$5:$A$304,0)),"ID not found - check spelling"))))</f>
        <v/>
      </c>
      <c r="H53" s="10" t="str">
        <f aca="false">IF($B53="","",IFERROR(INDEX(Drain_Register!$R$5:$R$304,MATCH($B53,Drain_Register!$A$5:$A$304,0)),IFERROR(INDEX(RW_Register!$X$5:$X$304,MATCH($B53,RW_Register!$A$5:$A$304,0)),IFERROR(INDEX(Other_Register!$M$5:$M$304,MATCH($B53,Other_Register!$A$5:$A$304,0)),""))))</f>
        <v/>
      </c>
      <c r="I53" s="10" t="str">
        <f aca="false">IF($B53="","",IFERROR(INDEX(Drain_Register!$S$5:$S$304,MATCH($B53,Drain_Register!$A$5:$A$304,0)),IFERROR(INDEX(RW_Register!$Y$5:$Y$304,MATCH($B53,RW_Register!$A$5:$A$304,0)),IFERROR(INDEX(Other_Register!$N$5:$N$304,MATCH($B53,Other_Register!$A$5:$A$304,0)),""))))</f>
        <v/>
      </c>
      <c r="J53" s="10" t="str">
        <f aca="false">IF($B53="","",IFERROR(INDEX(Drain_Register!$T$5:$T$304,MATCH($B53,Drain_Register!$A$5:$A$304,0)),IFERROR(INDEX(RW_Register!$Z$5:$Z$304,MATCH($B53,RW_Register!$A$5:$A$304,0)),IFERROR(INDEX(Other_Register!$O$5:$O$304,MATCH($B53,Other_Register!$A$5:$A$304,0)),""))))</f>
        <v/>
      </c>
      <c r="K53" s="10" t="str">
        <f aca="false">IF($B53="","",IFERROR(INDEX(Drain_Register!$U$5:$U$304,MATCH($B53,Drain_Register!$A$5:$A$304,0)),IFERROR(INDEX(RW_Register!$AA$5:$AA$304,MATCH($B53,RW_Register!$A$5:$A$304,0)),IFERROR(INDEX(Other_Register!$P$5:$P$304,MATCH($B53,Other_Register!$A$5:$A$304,0)),""))))</f>
        <v/>
      </c>
      <c r="L53" s="21" t="str">
        <f aca="false">IF(OR($B53="",$D53=""),"",$D53*IFERROR(INDEX(Drain_Register!$X$5:$X$304,MATCH($B53,Drain_Register!$A$5:$A$304,0)),IFERROR(INDEX(RW_Register!$AD$5:$AD$304,MATCH($B53,RW_Register!$A$5:$A$304,0)),IFERROR(INDEX(Other_Register!$T$5:$T$304,MATCH($B53,Other_Register!$A$5:$A$304,0)),0))))</f>
        <v/>
      </c>
      <c r="M53" s="22" t="str">
        <f aca="false">IF(OR($B53="",$D53=""),"",$D53*IFERROR(INDEX(Drain_Register!$Y$5:$Y$304,MATCH($B53,Drain_Register!$A$5:$A$304,0)),IFERROR(INDEX(RW_Register!$AE$5:$AE$304,MATCH($B53,RW_Register!$A$5:$A$304,0)),IFERROR(INDEX(Other_Register!$U$5:$U$304,MATCH($B53,Other_Register!$A$5:$A$304,0)),0)))/1000)</f>
        <v/>
      </c>
      <c r="N53" s="21" t="str">
        <f aca="false">IF(OR($B53="",$D53=""),"",$D53*IFERROR(INDEX(Drain_Register!$Z$5:$Z$304,MATCH($B53,Drain_Register!$A$5:$A$304,0)),IFERROR(INDEX(RW_Register!$AF$5:$AF$304,MATCH($B53,RW_Register!$A$5:$A$304,0)),IFERROR(INDEX(Other_Register!$V$5:$V$304,MATCH($B53,Other_Register!$A$5:$A$304,0)),0))))</f>
        <v/>
      </c>
      <c r="O53" s="21" t="str">
        <f aca="false">IF(OR($B53="",$D53=""),"",$D53*IFERROR(INDEX(Drain_Register!$AA$5:$AA$304,MATCH($B53,Drain_Register!$A$5:$A$304,0)),IFERROR(INDEX(RW_Register!$AG$5:$AG$304,MATCH($B53,RW_Register!$A$5:$A$304,0)),IFERROR(INDEX(Other_Register!$W$5:$W$304,MATCH($B53,Other_Register!$A$5:$A$304,0)),0))))</f>
        <v/>
      </c>
      <c r="P53" s="10" t="str">
        <f aca="false">IF($B53="","",IF(F53="","ID not found",IF(I53&lt;&gt;"Approved","WARNING: status is "&amp;I53,IF(D53="","Enter length / qty","OK"))))</f>
        <v/>
      </c>
    </row>
    <row r="54" customFormat="false" ht="15" hidden="false" customHeight="false" outlineLevel="0" collapsed="false">
      <c r="A54" s="9"/>
      <c r="B54" s="9"/>
      <c r="C54" s="9"/>
      <c r="D54" s="23"/>
      <c r="E54" s="10" t="str">
        <f aca="false">IF($B54="","",IF(F54="Others",IFERROR(INDEX(Other_Register!$S$5:$S$304,MATCH($B54,Other_Register!$A$5:$A$304,0)),""),IF(F54="",  "","m")))</f>
        <v/>
      </c>
      <c r="F54" s="10" t="str">
        <f aca="false">IF($B54="","",IF(ISNUMBER(MATCH($B54,Drain_Register!$A$5:$A$304,0)),"Drain",IF(ISNUMBER(MATCH($B54,RW_Register!$A$5:$A$304,0)),"Ret. Wall",IF(ISNUMBER(MATCH($B54,Other_Register!$A$5:$A$304,0)),"Others",""))))</f>
        <v/>
      </c>
      <c r="G54" s="10" t="str">
        <f aca="false">IF($B54="","",IFERROR(INDEX(Drain_Register!$B$5:$B$304,MATCH($B54,Drain_Register!$A$5:$A$304,0)),IFERROR(INDEX(RW_Register!$B$5:$B$304,MATCH($B54,RW_Register!$A$5:$A$304,0)),IFERROR(INDEX(Other_Register!$B$5:$B$304,MATCH($B54,Other_Register!$A$5:$A$304,0)),"ID not found - check spelling"))))</f>
        <v/>
      </c>
      <c r="H54" s="10" t="str">
        <f aca="false">IF($B54="","",IFERROR(INDEX(Drain_Register!$R$5:$R$304,MATCH($B54,Drain_Register!$A$5:$A$304,0)),IFERROR(INDEX(RW_Register!$X$5:$X$304,MATCH($B54,RW_Register!$A$5:$A$304,0)),IFERROR(INDEX(Other_Register!$M$5:$M$304,MATCH($B54,Other_Register!$A$5:$A$304,0)),""))))</f>
        <v/>
      </c>
      <c r="I54" s="10" t="str">
        <f aca="false">IF($B54="","",IFERROR(INDEX(Drain_Register!$S$5:$S$304,MATCH($B54,Drain_Register!$A$5:$A$304,0)),IFERROR(INDEX(RW_Register!$Y$5:$Y$304,MATCH($B54,RW_Register!$A$5:$A$304,0)),IFERROR(INDEX(Other_Register!$N$5:$N$304,MATCH($B54,Other_Register!$A$5:$A$304,0)),""))))</f>
        <v/>
      </c>
      <c r="J54" s="10" t="str">
        <f aca="false">IF($B54="","",IFERROR(INDEX(Drain_Register!$T$5:$T$304,MATCH($B54,Drain_Register!$A$5:$A$304,0)),IFERROR(INDEX(RW_Register!$Z$5:$Z$304,MATCH($B54,RW_Register!$A$5:$A$304,0)),IFERROR(INDEX(Other_Register!$O$5:$O$304,MATCH($B54,Other_Register!$A$5:$A$304,0)),""))))</f>
        <v/>
      </c>
      <c r="K54" s="10" t="str">
        <f aca="false">IF($B54="","",IFERROR(INDEX(Drain_Register!$U$5:$U$304,MATCH($B54,Drain_Register!$A$5:$A$304,0)),IFERROR(INDEX(RW_Register!$AA$5:$AA$304,MATCH($B54,RW_Register!$A$5:$A$304,0)),IFERROR(INDEX(Other_Register!$P$5:$P$304,MATCH($B54,Other_Register!$A$5:$A$304,0)),""))))</f>
        <v/>
      </c>
      <c r="L54" s="21" t="str">
        <f aca="false">IF(OR($B54="",$D54=""),"",$D54*IFERROR(INDEX(Drain_Register!$X$5:$X$304,MATCH($B54,Drain_Register!$A$5:$A$304,0)),IFERROR(INDEX(RW_Register!$AD$5:$AD$304,MATCH($B54,RW_Register!$A$5:$A$304,0)),IFERROR(INDEX(Other_Register!$T$5:$T$304,MATCH($B54,Other_Register!$A$5:$A$304,0)),0))))</f>
        <v/>
      </c>
      <c r="M54" s="22" t="str">
        <f aca="false">IF(OR($B54="",$D54=""),"",$D54*IFERROR(INDEX(Drain_Register!$Y$5:$Y$304,MATCH($B54,Drain_Register!$A$5:$A$304,0)),IFERROR(INDEX(RW_Register!$AE$5:$AE$304,MATCH($B54,RW_Register!$A$5:$A$304,0)),IFERROR(INDEX(Other_Register!$U$5:$U$304,MATCH($B54,Other_Register!$A$5:$A$304,0)),0)))/1000)</f>
        <v/>
      </c>
      <c r="N54" s="21" t="str">
        <f aca="false">IF(OR($B54="",$D54=""),"",$D54*IFERROR(INDEX(Drain_Register!$Z$5:$Z$304,MATCH($B54,Drain_Register!$A$5:$A$304,0)),IFERROR(INDEX(RW_Register!$AF$5:$AF$304,MATCH($B54,RW_Register!$A$5:$A$304,0)),IFERROR(INDEX(Other_Register!$V$5:$V$304,MATCH($B54,Other_Register!$A$5:$A$304,0)),0))))</f>
        <v/>
      </c>
      <c r="O54" s="21" t="str">
        <f aca="false">IF(OR($B54="",$D54=""),"",$D54*IFERROR(INDEX(Drain_Register!$AA$5:$AA$304,MATCH($B54,Drain_Register!$A$5:$A$304,0)),IFERROR(INDEX(RW_Register!$AG$5:$AG$304,MATCH($B54,RW_Register!$A$5:$A$304,0)),IFERROR(INDEX(Other_Register!$W$5:$W$304,MATCH($B54,Other_Register!$A$5:$A$304,0)),0))))</f>
        <v/>
      </c>
      <c r="P54" s="10" t="str">
        <f aca="false">IF($B54="","",IF(F54="","ID not found",IF(I54&lt;&gt;"Approved","WARNING: status is "&amp;I54,IF(D54="","Enter length / qty","OK"))))</f>
        <v/>
      </c>
    </row>
    <row r="55" customFormat="false" ht="15" hidden="false" customHeight="false" outlineLevel="0" collapsed="false">
      <c r="A55" s="9"/>
      <c r="B55" s="9"/>
      <c r="C55" s="9"/>
      <c r="D55" s="23"/>
      <c r="E55" s="10" t="str">
        <f aca="false">IF($B55="","",IF(F55="Others",IFERROR(INDEX(Other_Register!$S$5:$S$304,MATCH($B55,Other_Register!$A$5:$A$304,0)),""),IF(F55="",  "","m")))</f>
        <v/>
      </c>
      <c r="F55" s="10" t="str">
        <f aca="false">IF($B55="","",IF(ISNUMBER(MATCH($B55,Drain_Register!$A$5:$A$304,0)),"Drain",IF(ISNUMBER(MATCH($B55,RW_Register!$A$5:$A$304,0)),"Ret. Wall",IF(ISNUMBER(MATCH($B55,Other_Register!$A$5:$A$304,0)),"Others",""))))</f>
        <v/>
      </c>
      <c r="G55" s="10" t="str">
        <f aca="false">IF($B55="","",IFERROR(INDEX(Drain_Register!$B$5:$B$304,MATCH($B55,Drain_Register!$A$5:$A$304,0)),IFERROR(INDEX(RW_Register!$B$5:$B$304,MATCH($B55,RW_Register!$A$5:$A$304,0)),IFERROR(INDEX(Other_Register!$B$5:$B$304,MATCH($B55,Other_Register!$A$5:$A$304,0)),"ID not found - check spelling"))))</f>
        <v/>
      </c>
      <c r="H55" s="10" t="str">
        <f aca="false">IF($B55="","",IFERROR(INDEX(Drain_Register!$R$5:$R$304,MATCH($B55,Drain_Register!$A$5:$A$304,0)),IFERROR(INDEX(RW_Register!$X$5:$X$304,MATCH($B55,RW_Register!$A$5:$A$304,0)),IFERROR(INDEX(Other_Register!$M$5:$M$304,MATCH($B55,Other_Register!$A$5:$A$304,0)),""))))</f>
        <v/>
      </c>
      <c r="I55" s="10" t="str">
        <f aca="false">IF($B55="","",IFERROR(INDEX(Drain_Register!$S$5:$S$304,MATCH($B55,Drain_Register!$A$5:$A$304,0)),IFERROR(INDEX(RW_Register!$Y$5:$Y$304,MATCH($B55,RW_Register!$A$5:$A$304,0)),IFERROR(INDEX(Other_Register!$N$5:$N$304,MATCH($B55,Other_Register!$A$5:$A$304,0)),""))))</f>
        <v/>
      </c>
      <c r="J55" s="10" t="str">
        <f aca="false">IF($B55="","",IFERROR(INDEX(Drain_Register!$T$5:$T$304,MATCH($B55,Drain_Register!$A$5:$A$304,0)),IFERROR(INDEX(RW_Register!$Z$5:$Z$304,MATCH($B55,RW_Register!$A$5:$A$304,0)),IFERROR(INDEX(Other_Register!$O$5:$O$304,MATCH($B55,Other_Register!$A$5:$A$304,0)),""))))</f>
        <v/>
      </c>
      <c r="K55" s="10" t="str">
        <f aca="false">IF($B55="","",IFERROR(INDEX(Drain_Register!$U$5:$U$304,MATCH($B55,Drain_Register!$A$5:$A$304,0)),IFERROR(INDEX(RW_Register!$AA$5:$AA$304,MATCH($B55,RW_Register!$A$5:$A$304,0)),IFERROR(INDEX(Other_Register!$P$5:$P$304,MATCH($B55,Other_Register!$A$5:$A$304,0)),""))))</f>
        <v/>
      </c>
      <c r="L55" s="21" t="str">
        <f aca="false">IF(OR($B55="",$D55=""),"",$D55*IFERROR(INDEX(Drain_Register!$X$5:$X$304,MATCH($B55,Drain_Register!$A$5:$A$304,0)),IFERROR(INDEX(RW_Register!$AD$5:$AD$304,MATCH($B55,RW_Register!$A$5:$A$304,0)),IFERROR(INDEX(Other_Register!$T$5:$T$304,MATCH($B55,Other_Register!$A$5:$A$304,0)),0))))</f>
        <v/>
      </c>
      <c r="M55" s="22" t="str">
        <f aca="false">IF(OR($B55="",$D55=""),"",$D55*IFERROR(INDEX(Drain_Register!$Y$5:$Y$304,MATCH($B55,Drain_Register!$A$5:$A$304,0)),IFERROR(INDEX(RW_Register!$AE$5:$AE$304,MATCH($B55,RW_Register!$A$5:$A$304,0)),IFERROR(INDEX(Other_Register!$U$5:$U$304,MATCH($B55,Other_Register!$A$5:$A$304,0)),0)))/1000)</f>
        <v/>
      </c>
      <c r="N55" s="21" t="str">
        <f aca="false">IF(OR($B55="",$D55=""),"",$D55*IFERROR(INDEX(Drain_Register!$Z$5:$Z$304,MATCH($B55,Drain_Register!$A$5:$A$304,0)),IFERROR(INDEX(RW_Register!$AF$5:$AF$304,MATCH($B55,RW_Register!$A$5:$A$304,0)),IFERROR(INDEX(Other_Register!$V$5:$V$304,MATCH($B55,Other_Register!$A$5:$A$304,0)),0))))</f>
        <v/>
      </c>
      <c r="O55" s="21" t="str">
        <f aca="false">IF(OR($B55="",$D55=""),"",$D55*IFERROR(INDEX(Drain_Register!$AA$5:$AA$304,MATCH($B55,Drain_Register!$A$5:$A$304,0)),IFERROR(INDEX(RW_Register!$AG$5:$AG$304,MATCH($B55,RW_Register!$A$5:$A$304,0)),IFERROR(INDEX(Other_Register!$W$5:$W$304,MATCH($B55,Other_Register!$A$5:$A$304,0)),0))))</f>
        <v/>
      </c>
      <c r="P55" s="10" t="str">
        <f aca="false">IF($B55="","",IF(F55="","ID not found",IF(I55&lt;&gt;"Approved","WARNING: status is "&amp;I55,IF(D55="","Enter length / qty","OK"))))</f>
        <v/>
      </c>
    </row>
    <row r="56" customFormat="false" ht="15" hidden="false" customHeight="false" outlineLevel="0" collapsed="false">
      <c r="A56" s="9"/>
      <c r="B56" s="9"/>
      <c r="C56" s="9"/>
      <c r="D56" s="23"/>
      <c r="E56" s="10" t="str">
        <f aca="false">IF($B56="","",IF(F56="Others",IFERROR(INDEX(Other_Register!$S$5:$S$304,MATCH($B56,Other_Register!$A$5:$A$304,0)),""),IF(F56="",  "","m")))</f>
        <v/>
      </c>
      <c r="F56" s="10" t="str">
        <f aca="false">IF($B56="","",IF(ISNUMBER(MATCH($B56,Drain_Register!$A$5:$A$304,0)),"Drain",IF(ISNUMBER(MATCH($B56,RW_Register!$A$5:$A$304,0)),"Ret. Wall",IF(ISNUMBER(MATCH($B56,Other_Register!$A$5:$A$304,0)),"Others",""))))</f>
        <v/>
      </c>
      <c r="G56" s="10" t="str">
        <f aca="false">IF($B56="","",IFERROR(INDEX(Drain_Register!$B$5:$B$304,MATCH($B56,Drain_Register!$A$5:$A$304,0)),IFERROR(INDEX(RW_Register!$B$5:$B$304,MATCH($B56,RW_Register!$A$5:$A$304,0)),IFERROR(INDEX(Other_Register!$B$5:$B$304,MATCH($B56,Other_Register!$A$5:$A$304,0)),"ID not found - check spelling"))))</f>
        <v/>
      </c>
      <c r="H56" s="10" t="str">
        <f aca="false">IF($B56="","",IFERROR(INDEX(Drain_Register!$R$5:$R$304,MATCH($B56,Drain_Register!$A$5:$A$304,0)),IFERROR(INDEX(RW_Register!$X$5:$X$304,MATCH($B56,RW_Register!$A$5:$A$304,0)),IFERROR(INDEX(Other_Register!$M$5:$M$304,MATCH($B56,Other_Register!$A$5:$A$304,0)),""))))</f>
        <v/>
      </c>
      <c r="I56" s="10" t="str">
        <f aca="false">IF($B56="","",IFERROR(INDEX(Drain_Register!$S$5:$S$304,MATCH($B56,Drain_Register!$A$5:$A$304,0)),IFERROR(INDEX(RW_Register!$Y$5:$Y$304,MATCH($B56,RW_Register!$A$5:$A$304,0)),IFERROR(INDEX(Other_Register!$N$5:$N$304,MATCH($B56,Other_Register!$A$5:$A$304,0)),""))))</f>
        <v/>
      </c>
      <c r="J56" s="10" t="str">
        <f aca="false">IF($B56="","",IFERROR(INDEX(Drain_Register!$T$5:$T$304,MATCH($B56,Drain_Register!$A$5:$A$304,0)),IFERROR(INDEX(RW_Register!$Z$5:$Z$304,MATCH($B56,RW_Register!$A$5:$A$304,0)),IFERROR(INDEX(Other_Register!$O$5:$O$304,MATCH($B56,Other_Register!$A$5:$A$304,0)),""))))</f>
        <v/>
      </c>
      <c r="K56" s="10" t="str">
        <f aca="false">IF($B56="","",IFERROR(INDEX(Drain_Register!$U$5:$U$304,MATCH($B56,Drain_Register!$A$5:$A$304,0)),IFERROR(INDEX(RW_Register!$AA$5:$AA$304,MATCH($B56,RW_Register!$A$5:$A$304,0)),IFERROR(INDEX(Other_Register!$P$5:$P$304,MATCH($B56,Other_Register!$A$5:$A$304,0)),""))))</f>
        <v/>
      </c>
      <c r="L56" s="21" t="str">
        <f aca="false">IF(OR($B56="",$D56=""),"",$D56*IFERROR(INDEX(Drain_Register!$X$5:$X$304,MATCH($B56,Drain_Register!$A$5:$A$304,0)),IFERROR(INDEX(RW_Register!$AD$5:$AD$304,MATCH($B56,RW_Register!$A$5:$A$304,0)),IFERROR(INDEX(Other_Register!$T$5:$T$304,MATCH($B56,Other_Register!$A$5:$A$304,0)),0))))</f>
        <v/>
      </c>
      <c r="M56" s="22" t="str">
        <f aca="false">IF(OR($B56="",$D56=""),"",$D56*IFERROR(INDEX(Drain_Register!$Y$5:$Y$304,MATCH($B56,Drain_Register!$A$5:$A$304,0)),IFERROR(INDEX(RW_Register!$AE$5:$AE$304,MATCH($B56,RW_Register!$A$5:$A$304,0)),IFERROR(INDEX(Other_Register!$U$5:$U$304,MATCH($B56,Other_Register!$A$5:$A$304,0)),0)))/1000)</f>
        <v/>
      </c>
      <c r="N56" s="21" t="str">
        <f aca="false">IF(OR($B56="",$D56=""),"",$D56*IFERROR(INDEX(Drain_Register!$Z$5:$Z$304,MATCH($B56,Drain_Register!$A$5:$A$304,0)),IFERROR(INDEX(RW_Register!$AF$5:$AF$304,MATCH($B56,RW_Register!$A$5:$A$304,0)),IFERROR(INDEX(Other_Register!$V$5:$V$304,MATCH($B56,Other_Register!$A$5:$A$304,0)),0))))</f>
        <v/>
      </c>
      <c r="O56" s="21" t="str">
        <f aca="false">IF(OR($B56="",$D56=""),"",$D56*IFERROR(INDEX(Drain_Register!$AA$5:$AA$304,MATCH($B56,Drain_Register!$A$5:$A$304,0)),IFERROR(INDEX(RW_Register!$AG$5:$AG$304,MATCH($B56,RW_Register!$A$5:$A$304,0)),IFERROR(INDEX(Other_Register!$W$5:$W$304,MATCH($B56,Other_Register!$A$5:$A$304,0)),0))))</f>
        <v/>
      </c>
      <c r="P56" s="10" t="str">
        <f aca="false">IF($B56="","",IF(F56="","ID not found",IF(I56&lt;&gt;"Approved","WARNING: status is "&amp;I56,IF(D56="","Enter length / qty","OK"))))</f>
        <v/>
      </c>
    </row>
    <row r="57" customFormat="false" ht="15" hidden="false" customHeight="false" outlineLevel="0" collapsed="false">
      <c r="A57" s="9"/>
      <c r="B57" s="9"/>
      <c r="C57" s="9"/>
      <c r="D57" s="23"/>
      <c r="E57" s="10" t="str">
        <f aca="false">IF($B57="","",IF(F57="Others",IFERROR(INDEX(Other_Register!$S$5:$S$304,MATCH($B57,Other_Register!$A$5:$A$304,0)),""),IF(F57="",  "","m")))</f>
        <v/>
      </c>
      <c r="F57" s="10" t="str">
        <f aca="false">IF($B57="","",IF(ISNUMBER(MATCH($B57,Drain_Register!$A$5:$A$304,0)),"Drain",IF(ISNUMBER(MATCH($B57,RW_Register!$A$5:$A$304,0)),"Ret. Wall",IF(ISNUMBER(MATCH($B57,Other_Register!$A$5:$A$304,0)),"Others",""))))</f>
        <v/>
      </c>
      <c r="G57" s="10" t="str">
        <f aca="false">IF($B57="","",IFERROR(INDEX(Drain_Register!$B$5:$B$304,MATCH($B57,Drain_Register!$A$5:$A$304,0)),IFERROR(INDEX(RW_Register!$B$5:$B$304,MATCH($B57,RW_Register!$A$5:$A$304,0)),IFERROR(INDEX(Other_Register!$B$5:$B$304,MATCH($B57,Other_Register!$A$5:$A$304,0)),"ID not found - check spelling"))))</f>
        <v/>
      </c>
      <c r="H57" s="10" t="str">
        <f aca="false">IF($B57="","",IFERROR(INDEX(Drain_Register!$R$5:$R$304,MATCH($B57,Drain_Register!$A$5:$A$304,0)),IFERROR(INDEX(RW_Register!$X$5:$X$304,MATCH($B57,RW_Register!$A$5:$A$304,0)),IFERROR(INDEX(Other_Register!$M$5:$M$304,MATCH($B57,Other_Register!$A$5:$A$304,0)),""))))</f>
        <v/>
      </c>
      <c r="I57" s="10" t="str">
        <f aca="false">IF($B57="","",IFERROR(INDEX(Drain_Register!$S$5:$S$304,MATCH($B57,Drain_Register!$A$5:$A$304,0)),IFERROR(INDEX(RW_Register!$Y$5:$Y$304,MATCH($B57,RW_Register!$A$5:$A$304,0)),IFERROR(INDEX(Other_Register!$N$5:$N$304,MATCH($B57,Other_Register!$A$5:$A$304,0)),""))))</f>
        <v/>
      </c>
      <c r="J57" s="10" t="str">
        <f aca="false">IF($B57="","",IFERROR(INDEX(Drain_Register!$T$5:$T$304,MATCH($B57,Drain_Register!$A$5:$A$304,0)),IFERROR(INDEX(RW_Register!$Z$5:$Z$304,MATCH($B57,RW_Register!$A$5:$A$304,0)),IFERROR(INDEX(Other_Register!$O$5:$O$304,MATCH($B57,Other_Register!$A$5:$A$304,0)),""))))</f>
        <v/>
      </c>
      <c r="K57" s="10" t="str">
        <f aca="false">IF($B57="","",IFERROR(INDEX(Drain_Register!$U$5:$U$304,MATCH($B57,Drain_Register!$A$5:$A$304,0)),IFERROR(INDEX(RW_Register!$AA$5:$AA$304,MATCH($B57,RW_Register!$A$5:$A$304,0)),IFERROR(INDEX(Other_Register!$P$5:$P$304,MATCH($B57,Other_Register!$A$5:$A$304,0)),""))))</f>
        <v/>
      </c>
      <c r="L57" s="21" t="str">
        <f aca="false">IF(OR($B57="",$D57=""),"",$D57*IFERROR(INDEX(Drain_Register!$X$5:$X$304,MATCH($B57,Drain_Register!$A$5:$A$304,0)),IFERROR(INDEX(RW_Register!$AD$5:$AD$304,MATCH($B57,RW_Register!$A$5:$A$304,0)),IFERROR(INDEX(Other_Register!$T$5:$T$304,MATCH($B57,Other_Register!$A$5:$A$304,0)),0))))</f>
        <v/>
      </c>
      <c r="M57" s="22" t="str">
        <f aca="false">IF(OR($B57="",$D57=""),"",$D57*IFERROR(INDEX(Drain_Register!$Y$5:$Y$304,MATCH($B57,Drain_Register!$A$5:$A$304,0)),IFERROR(INDEX(RW_Register!$AE$5:$AE$304,MATCH($B57,RW_Register!$A$5:$A$304,0)),IFERROR(INDEX(Other_Register!$U$5:$U$304,MATCH($B57,Other_Register!$A$5:$A$304,0)),0)))/1000)</f>
        <v/>
      </c>
      <c r="N57" s="21" t="str">
        <f aca="false">IF(OR($B57="",$D57=""),"",$D57*IFERROR(INDEX(Drain_Register!$Z$5:$Z$304,MATCH($B57,Drain_Register!$A$5:$A$304,0)),IFERROR(INDEX(RW_Register!$AF$5:$AF$304,MATCH($B57,RW_Register!$A$5:$A$304,0)),IFERROR(INDEX(Other_Register!$V$5:$V$304,MATCH($B57,Other_Register!$A$5:$A$304,0)),0))))</f>
        <v/>
      </c>
      <c r="O57" s="21" t="str">
        <f aca="false">IF(OR($B57="",$D57=""),"",$D57*IFERROR(INDEX(Drain_Register!$AA$5:$AA$304,MATCH($B57,Drain_Register!$A$5:$A$304,0)),IFERROR(INDEX(RW_Register!$AG$5:$AG$304,MATCH($B57,RW_Register!$A$5:$A$304,0)),IFERROR(INDEX(Other_Register!$W$5:$W$304,MATCH($B57,Other_Register!$A$5:$A$304,0)),0))))</f>
        <v/>
      </c>
      <c r="P57" s="10" t="str">
        <f aca="false">IF($B57="","",IF(F57="","ID not found",IF(I57&lt;&gt;"Approved","WARNING: status is "&amp;I57,IF(D57="","Enter length / qty","OK"))))</f>
        <v/>
      </c>
    </row>
    <row r="58" customFormat="false" ht="15" hidden="false" customHeight="false" outlineLevel="0" collapsed="false">
      <c r="A58" s="9"/>
      <c r="B58" s="9"/>
      <c r="C58" s="9"/>
      <c r="D58" s="23"/>
      <c r="E58" s="10" t="str">
        <f aca="false">IF($B58="","",IF(F58="Others",IFERROR(INDEX(Other_Register!$S$5:$S$304,MATCH($B58,Other_Register!$A$5:$A$304,0)),""),IF(F58="",  "","m")))</f>
        <v/>
      </c>
      <c r="F58" s="10" t="str">
        <f aca="false">IF($B58="","",IF(ISNUMBER(MATCH($B58,Drain_Register!$A$5:$A$304,0)),"Drain",IF(ISNUMBER(MATCH($B58,RW_Register!$A$5:$A$304,0)),"Ret. Wall",IF(ISNUMBER(MATCH($B58,Other_Register!$A$5:$A$304,0)),"Others",""))))</f>
        <v/>
      </c>
      <c r="G58" s="10" t="str">
        <f aca="false">IF($B58="","",IFERROR(INDEX(Drain_Register!$B$5:$B$304,MATCH($B58,Drain_Register!$A$5:$A$304,0)),IFERROR(INDEX(RW_Register!$B$5:$B$304,MATCH($B58,RW_Register!$A$5:$A$304,0)),IFERROR(INDEX(Other_Register!$B$5:$B$304,MATCH($B58,Other_Register!$A$5:$A$304,0)),"ID not found - check spelling"))))</f>
        <v/>
      </c>
      <c r="H58" s="10" t="str">
        <f aca="false">IF($B58="","",IFERROR(INDEX(Drain_Register!$R$5:$R$304,MATCH($B58,Drain_Register!$A$5:$A$304,0)),IFERROR(INDEX(RW_Register!$X$5:$X$304,MATCH($B58,RW_Register!$A$5:$A$304,0)),IFERROR(INDEX(Other_Register!$M$5:$M$304,MATCH($B58,Other_Register!$A$5:$A$304,0)),""))))</f>
        <v/>
      </c>
      <c r="I58" s="10" t="str">
        <f aca="false">IF($B58="","",IFERROR(INDEX(Drain_Register!$S$5:$S$304,MATCH($B58,Drain_Register!$A$5:$A$304,0)),IFERROR(INDEX(RW_Register!$Y$5:$Y$304,MATCH($B58,RW_Register!$A$5:$A$304,0)),IFERROR(INDEX(Other_Register!$N$5:$N$304,MATCH($B58,Other_Register!$A$5:$A$304,0)),""))))</f>
        <v/>
      </c>
      <c r="J58" s="10" t="str">
        <f aca="false">IF($B58="","",IFERROR(INDEX(Drain_Register!$T$5:$T$304,MATCH($B58,Drain_Register!$A$5:$A$304,0)),IFERROR(INDEX(RW_Register!$Z$5:$Z$304,MATCH($B58,RW_Register!$A$5:$A$304,0)),IFERROR(INDEX(Other_Register!$O$5:$O$304,MATCH($B58,Other_Register!$A$5:$A$304,0)),""))))</f>
        <v/>
      </c>
      <c r="K58" s="10" t="str">
        <f aca="false">IF($B58="","",IFERROR(INDEX(Drain_Register!$U$5:$U$304,MATCH($B58,Drain_Register!$A$5:$A$304,0)),IFERROR(INDEX(RW_Register!$AA$5:$AA$304,MATCH($B58,RW_Register!$A$5:$A$304,0)),IFERROR(INDEX(Other_Register!$P$5:$P$304,MATCH($B58,Other_Register!$A$5:$A$304,0)),""))))</f>
        <v/>
      </c>
      <c r="L58" s="21" t="str">
        <f aca="false">IF(OR($B58="",$D58=""),"",$D58*IFERROR(INDEX(Drain_Register!$X$5:$X$304,MATCH($B58,Drain_Register!$A$5:$A$304,0)),IFERROR(INDEX(RW_Register!$AD$5:$AD$304,MATCH($B58,RW_Register!$A$5:$A$304,0)),IFERROR(INDEX(Other_Register!$T$5:$T$304,MATCH($B58,Other_Register!$A$5:$A$304,0)),0))))</f>
        <v/>
      </c>
      <c r="M58" s="22" t="str">
        <f aca="false">IF(OR($B58="",$D58=""),"",$D58*IFERROR(INDEX(Drain_Register!$Y$5:$Y$304,MATCH($B58,Drain_Register!$A$5:$A$304,0)),IFERROR(INDEX(RW_Register!$AE$5:$AE$304,MATCH($B58,RW_Register!$A$5:$A$304,0)),IFERROR(INDEX(Other_Register!$U$5:$U$304,MATCH($B58,Other_Register!$A$5:$A$304,0)),0)))/1000)</f>
        <v/>
      </c>
      <c r="N58" s="21" t="str">
        <f aca="false">IF(OR($B58="",$D58=""),"",$D58*IFERROR(INDEX(Drain_Register!$Z$5:$Z$304,MATCH($B58,Drain_Register!$A$5:$A$304,0)),IFERROR(INDEX(RW_Register!$AF$5:$AF$304,MATCH($B58,RW_Register!$A$5:$A$304,0)),IFERROR(INDEX(Other_Register!$V$5:$V$304,MATCH($B58,Other_Register!$A$5:$A$304,0)),0))))</f>
        <v/>
      </c>
      <c r="O58" s="21" t="str">
        <f aca="false">IF(OR($B58="",$D58=""),"",$D58*IFERROR(INDEX(Drain_Register!$AA$5:$AA$304,MATCH($B58,Drain_Register!$A$5:$A$304,0)),IFERROR(INDEX(RW_Register!$AG$5:$AG$304,MATCH($B58,RW_Register!$A$5:$A$304,0)),IFERROR(INDEX(Other_Register!$W$5:$W$304,MATCH($B58,Other_Register!$A$5:$A$304,0)),0))))</f>
        <v/>
      </c>
      <c r="P58" s="10" t="str">
        <f aca="false">IF($B58="","",IF(F58="","ID not found",IF(I58&lt;&gt;"Approved","WARNING: status is "&amp;I58,IF(D58="","Enter length / qty","OK"))))</f>
        <v/>
      </c>
    </row>
    <row r="59" customFormat="false" ht="15" hidden="false" customHeight="false" outlineLevel="0" collapsed="false">
      <c r="A59" s="9"/>
      <c r="B59" s="9"/>
      <c r="C59" s="9"/>
      <c r="D59" s="23"/>
      <c r="E59" s="10" t="str">
        <f aca="false">IF($B59="","",IF(F59="Others",IFERROR(INDEX(Other_Register!$S$5:$S$304,MATCH($B59,Other_Register!$A$5:$A$304,0)),""),IF(F59="",  "","m")))</f>
        <v/>
      </c>
      <c r="F59" s="10" t="str">
        <f aca="false">IF($B59="","",IF(ISNUMBER(MATCH($B59,Drain_Register!$A$5:$A$304,0)),"Drain",IF(ISNUMBER(MATCH($B59,RW_Register!$A$5:$A$304,0)),"Ret. Wall",IF(ISNUMBER(MATCH($B59,Other_Register!$A$5:$A$304,0)),"Others",""))))</f>
        <v/>
      </c>
      <c r="G59" s="10" t="str">
        <f aca="false">IF($B59="","",IFERROR(INDEX(Drain_Register!$B$5:$B$304,MATCH($B59,Drain_Register!$A$5:$A$304,0)),IFERROR(INDEX(RW_Register!$B$5:$B$304,MATCH($B59,RW_Register!$A$5:$A$304,0)),IFERROR(INDEX(Other_Register!$B$5:$B$304,MATCH($B59,Other_Register!$A$5:$A$304,0)),"ID not found - check spelling"))))</f>
        <v/>
      </c>
      <c r="H59" s="10" t="str">
        <f aca="false">IF($B59="","",IFERROR(INDEX(Drain_Register!$R$5:$R$304,MATCH($B59,Drain_Register!$A$5:$A$304,0)),IFERROR(INDEX(RW_Register!$X$5:$X$304,MATCH($B59,RW_Register!$A$5:$A$304,0)),IFERROR(INDEX(Other_Register!$M$5:$M$304,MATCH($B59,Other_Register!$A$5:$A$304,0)),""))))</f>
        <v/>
      </c>
      <c r="I59" s="10" t="str">
        <f aca="false">IF($B59="","",IFERROR(INDEX(Drain_Register!$S$5:$S$304,MATCH($B59,Drain_Register!$A$5:$A$304,0)),IFERROR(INDEX(RW_Register!$Y$5:$Y$304,MATCH($B59,RW_Register!$A$5:$A$304,0)),IFERROR(INDEX(Other_Register!$N$5:$N$304,MATCH($B59,Other_Register!$A$5:$A$304,0)),""))))</f>
        <v/>
      </c>
      <c r="J59" s="10" t="str">
        <f aca="false">IF($B59="","",IFERROR(INDEX(Drain_Register!$T$5:$T$304,MATCH($B59,Drain_Register!$A$5:$A$304,0)),IFERROR(INDEX(RW_Register!$Z$5:$Z$304,MATCH($B59,RW_Register!$A$5:$A$304,0)),IFERROR(INDEX(Other_Register!$O$5:$O$304,MATCH($B59,Other_Register!$A$5:$A$304,0)),""))))</f>
        <v/>
      </c>
      <c r="K59" s="10" t="str">
        <f aca="false">IF($B59="","",IFERROR(INDEX(Drain_Register!$U$5:$U$304,MATCH($B59,Drain_Register!$A$5:$A$304,0)),IFERROR(INDEX(RW_Register!$AA$5:$AA$304,MATCH($B59,RW_Register!$A$5:$A$304,0)),IFERROR(INDEX(Other_Register!$P$5:$P$304,MATCH($B59,Other_Register!$A$5:$A$304,0)),""))))</f>
        <v/>
      </c>
      <c r="L59" s="21" t="str">
        <f aca="false">IF(OR($B59="",$D59=""),"",$D59*IFERROR(INDEX(Drain_Register!$X$5:$X$304,MATCH($B59,Drain_Register!$A$5:$A$304,0)),IFERROR(INDEX(RW_Register!$AD$5:$AD$304,MATCH($B59,RW_Register!$A$5:$A$304,0)),IFERROR(INDEX(Other_Register!$T$5:$T$304,MATCH($B59,Other_Register!$A$5:$A$304,0)),0))))</f>
        <v/>
      </c>
      <c r="M59" s="22" t="str">
        <f aca="false">IF(OR($B59="",$D59=""),"",$D59*IFERROR(INDEX(Drain_Register!$Y$5:$Y$304,MATCH($B59,Drain_Register!$A$5:$A$304,0)),IFERROR(INDEX(RW_Register!$AE$5:$AE$304,MATCH($B59,RW_Register!$A$5:$A$304,0)),IFERROR(INDEX(Other_Register!$U$5:$U$304,MATCH($B59,Other_Register!$A$5:$A$304,0)),0)))/1000)</f>
        <v/>
      </c>
      <c r="N59" s="21" t="str">
        <f aca="false">IF(OR($B59="",$D59=""),"",$D59*IFERROR(INDEX(Drain_Register!$Z$5:$Z$304,MATCH($B59,Drain_Register!$A$5:$A$304,0)),IFERROR(INDEX(RW_Register!$AF$5:$AF$304,MATCH($B59,RW_Register!$A$5:$A$304,0)),IFERROR(INDEX(Other_Register!$V$5:$V$304,MATCH($B59,Other_Register!$A$5:$A$304,0)),0))))</f>
        <v/>
      </c>
      <c r="O59" s="21" t="str">
        <f aca="false">IF(OR($B59="",$D59=""),"",$D59*IFERROR(INDEX(Drain_Register!$AA$5:$AA$304,MATCH($B59,Drain_Register!$A$5:$A$304,0)),IFERROR(INDEX(RW_Register!$AG$5:$AG$304,MATCH($B59,RW_Register!$A$5:$A$304,0)),IFERROR(INDEX(Other_Register!$W$5:$W$304,MATCH($B59,Other_Register!$A$5:$A$304,0)),0))))</f>
        <v/>
      </c>
      <c r="P59" s="10" t="str">
        <f aca="false">IF($B59="","",IF(F59="","ID not found",IF(I59&lt;&gt;"Approved","WARNING: status is "&amp;I59,IF(D59="","Enter length / qty","OK"))))</f>
        <v/>
      </c>
    </row>
    <row r="60" customFormat="false" ht="15" hidden="false" customHeight="false" outlineLevel="0" collapsed="false">
      <c r="A60" s="9"/>
      <c r="B60" s="9"/>
      <c r="C60" s="9"/>
      <c r="D60" s="23"/>
      <c r="E60" s="10" t="str">
        <f aca="false">IF($B60="","",IF(F60="Others",IFERROR(INDEX(Other_Register!$S$5:$S$304,MATCH($B60,Other_Register!$A$5:$A$304,0)),""),IF(F60="",  "","m")))</f>
        <v/>
      </c>
      <c r="F60" s="10" t="str">
        <f aca="false">IF($B60="","",IF(ISNUMBER(MATCH($B60,Drain_Register!$A$5:$A$304,0)),"Drain",IF(ISNUMBER(MATCH($B60,RW_Register!$A$5:$A$304,0)),"Ret. Wall",IF(ISNUMBER(MATCH($B60,Other_Register!$A$5:$A$304,0)),"Others",""))))</f>
        <v/>
      </c>
      <c r="G60" s="10" t="str">
        <f aca="false">IF($B60="","",IFERROR(INDEX(Drain_Register!$B$5:$B$304,MATCH($B60,Drain_Register!$A$5:$A$304,0)),IFERROR(INDEX(RW_Register!$B$5:$B$304,MATCH($B60,RW_Register!$A$5:$A$304,0)),IFERROR(INDEX(Other_Register!$B$5:$B$304,MATCH($B60,Other_Register!$A$5:$A$304,0)),"ID not found - check spelling"))))</f>
        <v/>
      </c>
      <c r="H60" s="10" t="str">
        <f aca="false">IF($B60="","",IFERROR(INDEX(Drain_Register!$R$5:$R$304,MATCH($B60,Drain_Register!$A$5:$A$304,0)),IFERROR(INDEX(RW_Register!$X$5:$X$304,MATCH($B60,RW_Register!$A$5:$A$304,0)),IFERROR(INDEX(Other_Register!$M$5:$M$304,MATCH($B60,Other_Register!$A$5:$A$304,0)),""))))</f>
        <v/>
      </c>
      <c r="I60" s="10" t="str">
        <f aca="false">IF($B60="","",IFERROR(INDEX(Drain_Register!$S$5:$S$304,MATCH($B60,Drain_Register!$A$5:$A$304,0)),IFERROR(INDEX(RW_Register!$Y$5:$Y$304,MATCH($B60,RW_Register!$A$5:$A$304,0)),IFERROR(INDEX(Other_Register!$N$5:$N$304,MATCH($B60,Other_Register!$A$5:$A$304,0)),""))))</f>
        <v/>
      </c>
      <c r="J60" s="10" t="str">
        <f aca="false">IF($B60="","",IFERROR(INDEX(Drain_Register!$T$5:$T$304,MATCH($B60,Drain_Register!$A$5:$A$304,0)),IFERROR(INDEX(RW_Register!$Z$5:$Z$304,MATCH($B60,RW_Register!$A$5:$A$304,0)),IFERROR(INDEX(Other_Register!$O$5:$O$304,MATCH($B60,Other_Register!$A$5:$A$304,0)),""))))</f>
        <v/>
      </c>
      <c r="K60" s="10" t="str">
        <f aca="false">IF($B60="","",IFERROR(INDEX(Drain_Register!$U$5:$U$304,MATCH($B60,Drain_Register!$A$5:$A$304,0)),IFERROR(INDEX(RW_Register!$AA$5:$AA$304,MATCH($B60,RW_Register!$A$5:$A$304,0)),IFERROR(INDEX(Other_Register!$P$5:$P$304,MATCH($B60,Other_Register!$A$5:$A$304,0)),""))))</f>
        <v/>
      </c>
      <c r="L60" s="21" t="str">
        <f aca="false">IF(OR($B60="",$D60=""),"",$D60*IFERROR(INDEX(Drain_Register!$X$5:$X$304,MATCH($B60,Drain_Register!$A$5:$A$304,0)),IFERROR(INDEX(RW_Register!$AD$5:$AD$304,MATCH($B60,RW_Register!$A$5:$A$304,0)),IFERROR(INDEX(Other_Register!$T$5:$T$304,MATCH($B60,Other_Register!$A$5:$A$304,0)),0))))</f>
        <v/>
      </c>
      <c r="M60" s="22" t="str">
        <f aca="false">IF(OR($B60="",$D60=""),"",$D60*IFERROR(INDEX(Drain_Register!$Y$5:$Y$304,MATCH($B60,Drain_Register!$A$5:$A$304,0)),IFERROR(INDEX(RW_Register!$AE$5:$AE$304,MATCH($B60,RW_Register!$A$5:$A$304,0)),IFERROR(INDEX(Other_Register!$U$5:$U$304,MATCH($B60,Other_Register!$A$5:$A$304,0)),0)))/1000)</f>
        <v/>
      </c>
      <c r="N60" s="21" t="str">
        <f aca="false">IF(OR($B60="",$D60=""),"",$D60*IFERROR(INDEX(Drain_Register!$Z$5:$Z$304,MATCH($B60,Drain_Register!$A$5:$A$304,0)),IFERROR(INDEX(RW_Register!$AF$5:$AF$304,MATCH($B60,RW_Register!$A$5:$A$304,0)),IFERROR(INDEX(Other_Register!$V$5:$V$304,MATCH($B60,Other_Register!$A$5:$A$304,0)),0))))</f>
        <v/>
      </c>
      <c r="O60" s="21" t="str">
        <f aca="false">IF(OR($B60="",$D60=""),"",$D60*IFERROR(INDEX(Drain_Register!$AA$5:$AA$304,MATCH($B60,Drain_Register!$A$5:$A$304,0)),IFERROR(INDEX(RW_Register!$AG$5:$AG$304,MATCH($B60,RW_Register!$A$5:$A$304,0)),IFERROR(INDEX(Other_Register!$W$5:$W$304,MATCH($B60,Other_Register!$A$5:$A$304,0)),0))))</f>
        <v/>
      </c>
      <c r="P60" s="10" t="str">
        <f aca="false">IF($B60="","",IF(F60="","ID not found",IF(I60&lt;&gt;"Approved","WARNING: status is "&amp;I60,IF(D60="","Enter length / qty","OK"))))</f>
        <v/>
      </c>
    </row>
    <row r="61" customFormat="false" ht="15" hidden="false" customHeight="false" outlineLevel="0" collapsed="false">
      <c r="K61" s="8" t="s">
        <v>116</v>
      </c>
      <c r="L61" s="24" t="n">
        <f aca="false">SUM(L6:L60)</f>
        <v>180.26</v>
      </c>
      <c r="M61" s="25" t="n">
        <f aca="false">SUM(M6:M60)</f>
        <v>23.59</v>
      </c>
      <c r="N61" s="24" t="n">
        <f aca="false">SUM(N6:N60)</f>
        <v>1043.2</v>
      </c>
      <c r="O61" s="24" t="n">
        <f aca="false">SUM(O6:O60)</f>
        <v>640.75</v>
      </c>
    </row>
    <row r="63" customFormat="false" ht="15" hidden="false" customHeight="false" outlineLevel="0" collapsed="false">
      <c r="A63" s="6" t="s">
        <v>117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9"/>
  </cols>
  <sheetData>
    <row r="1" customFormat="false" ht="17.35" hidden="false" customHeight="false" outlineLevel="0" collapsed="false">
      <c r="A1" s="5" t="s">
        <v>118</v>
      </c>
    </row>
    <row r="3" customFormat="false" ht="15" hidden="false" customHeight="false" outlineLevel="0" collapsed="false">
      <c r="A3" s="26" t="s">
        <v>119</v>
      </c>
    </row>
    <row r="4" customFormat="false" ht="15" hidden="false" customHeight="false" outlineLevel="0" collapsed="false">
      <c r="A4" s="7" t="s">
        <v>60</v>
      </c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  <c r="I4" s="16" t="s">
        <v>127</v>
      </c>
      <c r="J4" s="16" t="s">
        <v>128</v>
      </c>
      <c r="K4" s="16" t="s">
        <v>129</v>
      </c>
    </row>
    <row r="5" customFormat="false" ht="15" hidden="false" customHeight="false" outlineLevel="0" collapsed="false">
      <c r="A5" s="27" t="s">
        <v>61</v>
      </c>
      <c r="B5" s="28" t="n">
        <f aca="false">COUNTIFS(RW_Register!$C$5:$C$304,$A5,RW_Register!$Y$5:$Y$304,"Approved",RW_Register!$D$5:$D$304,"&gt;0",RW_Register!$D$5:$D$304,"&lt;=1.0")</f>
        <v>0</v>
      </c>
      <c r="C5" s="28" t="n">
        <f aca="false">COUNTIFS(RW_Register!$C$5:$C$304,$A5,RW_Register!$Y$5:$Y$304,"Approved",RW_Register!$D$5:$D$304,"&gt;1.0",RW_Register!$D$5:$D$304,"&lt;=1.5")</f>
        <v>1</v>
      </c>
      <c r="D5" s="28" t="n">
        <f aca="false">COUNTIFS(RW_Register!$C$5:$C$304,$A5,RW_Register!$Y$5:$Y$304,"Approved",RW_Register!$D$5:$D$304,"&gt;1.5",RW_Register!$D$5:$D$304,"&lt;=2.0")</f>
        <v>1</v>
      </c>
      <c r="E5" s="28" t="n">
        <f aca="false">COUNTIFS(RW_Register!$C$5:$C$304,$A5,RW_Register!$Y$5:$Y$304,"Approved",RW_Register!$D$5:$D$304,"&gt;2.0",RW_Register!$D$5:$D$304,"&lt;=2.5")</f>
        <v>1</v>
      </c>
      <c r="F5" s="28" t="n">
        <f aca="false">COUNTIFS(RW_Register!$C$5:$C$304,$A5,RW_Register!$Y$5:$Y$304,"Approved",RW_Register!$D$5:$D$304,"&gt;2.5",RW_Register!$D$5:$D$304,"&lt;=3.0")</f>
        <v>2</v>
      </c>
      <c r="G5" s="28" t="n">
        <f aca="false">COUNTIFS(RW_Register!$C$5:$C$304,$A5,RW_Register!$Y$5:$Y$304,"Approved",RW_Register!$D$5:$D$304,"&gt;3.0",RW_Register!$D$5:$D$304,"&lt;=3.5")</f>
        <v>1</v>
      </c>
      <c r="H5" s="28" t="n">
        <f aca="false">COUNTIFS(RW_Register!$C$5:$C$304,$A5,RW_Register!$Y$5:$Y$304,"Approved",RW_Register!$D$5:$D$304,"&gt;3.5",RW_Register!$D$5:$D$304,"&lt;=4.0")</f>
        <v>0</v>
      </c>
      <c r="I5" s="28" t="n">
        <f aca="false">COUNTIFS(RW_Register!$C$5:$C$304,$A5,RW_Register!$Y$5:$Y$304,"Approved",RW_Register!$D$5:$D$304,"&gt;4.0",RW_Register!$D$5:$D$304,"&lt;=4.5")</f>
        <v>0</v>
      </c>
      <c r="J5" s="28" t="n">
        <f aca="false">COUNTIFS(RW_Register!$C$5:$C$304,$A5,RW_Register!$Y$5:$Y$304,"Approved",RW_Register!$D$5:$D$304,"&gt;4.5",RW_Register!$D$5:$D$304,"&lt;=5.0")</f>
        <v>0</v>
      </c>
      <c r="K5" s="28" t="n">
        <f aca="false">COUNTIFS(RW_Register!$C$5:$C$304,$A5,RW_Register!$Y$5:$Y$304,"Approved",RW_Register!$D$5:$D$304,"&gt;5.0",RW_Register!$D$5:$D$304,"&lt;=6.0")</f>
        <v>0</v>
      </c>
    </row>
    <row r="6" customFormat="false" ht="15" hidden="false" customHeight="false" outlineLevel="0" collapsed="false">
      <c r="A6" s="27" t="s">
        <v>130</v>
      </c>
      <c r="B6" s="28" t="n">
        <f aca="false">COUNTIFS(RW_Register!$C$5:$C$304,$A6,RW_Register!$Y$5:$Y$304,"Approved",RW_Register!$D$5:$D$304,"&gt;0",RW_Register!$D$5:$D$304,"&lt;=1.0")</f>
        <v>1</v>
      </c>
      <c r="C6" s="28" t="n">
        <f aca="false">COUNTIFS(RW_Register!$C$5:$C$304,$A6,RW_Register!$Y$5:$Y$304,"Approved",RW_Register!$D$5:$D$304,"&gt;1.0",RW_Register!$D$5:$D$304,"&lt;=1.5")</f>
        <v>0</v>
      </c>
      <c r="D6" s="28" t="n">
        <f aca="false">COUNTIFS(RW_Register!$C$5:$C$304,$A6,RW_Register!$Y$5:$Y$304,"Approved",RW_Register!$D$5:$D$304,"&gt;1.5",RW_Register!$D$5:$D$304,"&lt;=2.0")</f>
        <v>0</v>
      </c>
      <c r="E6" s="28" t="n">
        <f aca="false">COUNTIFS(RW_Register!$C$5:$C$304,$A6,RW_Register!$Y$5:$Y$304,"Approved",RW_Register!$D$5:$D$304,"&gt;2.0",RW_Register!$D$5:$D$304,"&lt;=2.5")</f>
        <v>0</v>
      </c>
      <c r="F6" s="28" t="n">
        <f aca="false">COUNTIFS(RW_Register!$C$5:$C$304,$A6,RW_Register!$Y$5:$Y$304,"Approved",RW_Register!$D$5:$D$304,"&gt;2.5",RW_Register!$D$5:$D$304,"&lt;=3.0")</f>
        <v>0</v>
      </c>
      <c r="G6" s="28" t="n">
        <f aca="false">COUNTIFS(RW_Register!$C$5:$C$304,$A6,RW_Register!$Y$5:$Y$304,"Approved",RW_Register!$D$5:$D$304,"&gt;3.0",RW_Register!$D$5:$D$304,"&lt;=3.5")</f>
        <v>0</v>
      </c>
      <c r="H6" s="28" t="n">
        <f aca="false">COUNTIFS(RW_Register!$C$5:$C$304,$A6,RW_Register!$Y$5:$Y$304,"Approved",RW_Register!$D$5:$D$304,"&gt;3.5",RW_Register!$D$5:$D$304,"&lt;=4.0")</f>
        <v>0</v>
      </c>
      <c r="I6" s="28" t="n">
        <f aca="false">COUNTIFS(RW_Register!$C$5:$C$304,$A6,RW_Register!$Y$5:$Y$304,"Approved",RW_Register!$D$5:$D$304,"&gt;4.0",RW_Register!$D$5:$D$304,"&lt;=4.5")</f>
        <v>0</v>
      </c>
      <c r="J6" s="28" t="n">
        <f aca="false">COUNTIFS(RW_Register!$C$5:$C$304,$A6,RW_Register!$Y$5:$Y$304,"Approved",RW_Register!$D$5:$D$304,"&gt;4.5",RW_Register!$D$5:$D$304,"&lt;=5.0")</f>
        <v>0</v>
      </c>
      <c r="K6" s="28" t="n">
        <f aca="false">COUNTIFS(RW_Register!$C$5:$C$304,$A6,RW_Register!$Y$5:$Y$304,"Approved",RW_Register!$D$5:$D$304,"&gt;5.0",RW_Register!$D$5:$D$304,"&lt;=6.0")</f>
        <v>0</v>
      </c>
    </row>
    <row r="7" customFormat="false" ht="15" hidden="false" customHeight="false" outlineLevel="0" collapsed="false">
      <c r="A7" s="27" t="s">
        <v>131</v>
      </c>
      <c r="B7" s="28" t="n">
        <f aca="false">COUNTIFS(RW_Register!$C$5:$C$304,$A7,RW_Register!$Y$5:$Y$304,"Approved",RW_Register!$D$5:$D$304,"&gt;0",RW_Register!$D$5:$D$304,"&lt;=1.0")</f>
        <v>0</v>
      </c>
      <c r="C7" s="28" t="n">
        <f aca="false">COUNTIFS(RW_Register!$C$5:$C$304,$A7,RW_Register!$Y$5:$Y$304,"Approved",RW_Register!$D$5:$D$304,"&gt;1.0",RW_Register!$D$5:$D$304,"&lt;=1.5")</f>
        <v>1</v>
      </c>
      <c r="D7" s="28" t="n">
        <f aca="false">COUNTIFS(RW_Register!$C$5:$C$304,$A7,RW_Register!$Y$5:$Y$304,"Approved",RW_Register!$D$5:$D$304,"&gt;1.5",RW_Register!$D$5:$D$304,"&lt;=2.0")</f>
        <v>0</v>
      </c>
      <c r="E7" s="28" t="n">
        <f aca="false">COUNTIFS(RW_Register!$C$5:$C$304,$A7,RW_Register!$Y$5:$Y$304,"Approved",RW_Register!$D$5:$D$304,"&gt;2.0",RW_Register!$D$5:$D$304,"&lt;=2.5")</f>
        <v>0</v>
      </c>
      <c r="F7" s="28" t="n">
        <f aca="false">COUNTIFS(RW_Register!$C$5:$C$304,$A7,RW_Register!$Y$5:$Y$304,"Approved",RW_Register!$D$5:$D$304,"&gt;2.5",RW_Register!$D$5:$D$304,"&lt;=3.0")</f>
        <v>0</v>
      </c>
      <c r="G7" s="28" t="n">
        <f aca="false">COUNTIFS(RW_Register!$C$5:$C$304,$A7,RW_Register!$Y$5:$Y$304,"Approved",RW_Register!$D$5:$D$304,"&gt;3.0",RW_Register!$D$5:$D$304,"&lt;=3.5")</f>
        <v>0</v>
      </c>
      <c r="H7" s="28" t="n">
        <f aca="false">COUNTIFS(RW_Register!$C$5:$C$304,$A7,RW_Register!$Y$5:$Y$304,"Approved",RW_Register!$D$5:$D$304,"&gt;3.5",RW_Register!$D$5:$D$304,"&lt;=4.0")</f>
        <v>0</v>
      </c>
      <c r="I7" s="28" t="n">
        <f aca="false">COUNTIFS(RW_Register!$C$5:$C$304,$A7,RW_Register!$Y$5:$Y$304,"Approved",RW_Register!$D$5:$D$304,"&gt;4.0",RW_Register!$D$5:$D$304,"&lt;=4.5")</f>
        <v>0</v>
      </c>
      <c r="J7" s="28" t="n">
        <f aca="false">COUNTIFS(RW_Register!$C$5:$C$304,$A7,RW_Register!$Y$5:$Y$304,"Approved",RW_Register!$D$5:$D$304,"&gt;4.5",RW_Register!$D$5:$D$304,"&lt;=5.0")</f>
        <v>0</v>
      </c>
      <c r="K7" s="28" t="n">
        <f aca="false">COUNTIFS(RW_Register!$C$5:$C$304,$A7,RW_Register!$Y$5:$Y$304,"Approved",RW_Register!$D$5:$D$304,"&gt;5.0",RW_Register!$D$5:$D$304,"&lt;=6.0")</f>
        <v>0</v>
      </c>
    </row>
    <row r="8" customFormat="false" ht="15" hidden="false" customHeight="false" outlineLevel="0" collapsed="false">
      <c r="A8" s="27" t="s">
        <v>132</v>
      </c>
      <c r="B8" s="28" t="n">
        <f aca="false">COUNTIFS(RW_Register!$C$5:$C$304,$A8,RW_Register!$Y$5:$Y$304,"Approved",RW_Register!$D$5:$D$304,"&gt;0",RW_Register!$D$5:$D$304,"&lt;=1.0")</f>
        <v>0</v>
      </c>
      <c r="C8" s="28" t="n">
        <f aca="false">COUNTIFS(RW_Register!$C$5:$C$304,$A8,RW_Register!$Y$5:$Y$304,"Approved",RW_Register!$D$5:$D$304,"&gt;1.0",RW_Register!$D$5:$D$304,"&lt;=1.5")</f>
        <v>0</v>
      </c>
      <c r="D8" s="28" t="n">
        <f aca="false">COUNTIFS(RW_Register!$C$5:$C$304,$A8,RW_Register!$Y$5:$Y$304,"Approved",RW_Register!$D$5:$D$304,"&gt;1.5",RW_Register!$D$5:$D$304,"&lt;=2.0")</f>
        <v>0</v>
      </c>
      <c r="E8" s="28" t="n">
        <f aca="false">COUNTIFS(RW_Register!$C$5:$C$304,$A8,RW_Register!$Y$5:$Y$304,"Approved",RW_Register!$D$5:$D$304,"&gt;2.0",RW_Register!$D$5:$D$304,"&lt;=2.5")</f>
        <v>0</v>
      </c>
      <c r="F8" s="28" t="n">
        <f aca="false">COUNTIFS(RW_Register!$C$5:$C$304,$A8,RW_Register!$Y$5:$Y$304,"Approved",RW_Register!$D$5:$D$304,"&gt;2.5",RW_Register!$D$5:$D$304,"&lt;=3.0")</f>
        <v>0</v>
      </c>
      <c r="G8" s="28" t="n">
        <f aca="false">COUNTIFS(RW_Register!$C$5:$C$304,$A8,RW_Register!$Y$5:$Y$304,"Approved",RW_Register!$D$5:$D$304,"&gt;3.0",RW_Register!$D$5:$D$304,"&lt;=3.5")</f>
        <v>0</v>
      </c>
      <c r="H8" s="28" t="n">
        <f aca="false">COUNTIFS(RW_Register!$C$5:$C$304,$A8,RW_Register!$Y$5:$Y$304,"Approved",RW_Register!$D$5:$D$304,"&gt;3.5",RW_Register!$D$5:$D$304,"&lt;=4.0")</f>
        <v>0</v>
      </c>
      <c r="I8" s="28" t="n">
        <f aca="false">COUNTIFS(RW_Register!$C$5:$C$304,$A8,RW_Register!$Y$5:$Y$304,"Approved",RW_Register!$D$5:$D$304,"&gt;4.0",RW_Register!$D$5:$D$304,"&lt;=4.5")</f>
        <v>0</v>
      </c>
      <c r="J8" s="28" t="n">
        <f aca="false">COUNTIFS(RW_Register!$C$5:$C$304,$A8,RW_Register!$Y$5:$Y$304,"Approved",RW_Register!$D$5:$D$304,"&gt;4.5",RW_Register!$D$5:$D$304,"&lt;=5.0")</f>
        <v>0</v>
      </c>
      <c r="K8" s="28" t="n">
        <f aca="false">COUNTIFS(RW_Register!$C$5:$C$304,$A8,RW_Register!$Y$5:$Y$304,"Approved",RW_Register!$D$5:$D$304,"&gt;5.0",RW_Register!$D$5:$D$304,"&lt;=6.0")</f>
        <v>0</v>
      </c>
    </row>
    <row r="9" customFormat="false" ht="15" hidden="false" customHeight="false" outlineLevel="0" collapsed="false">
      <c r="A9" s="27" t="s">
        <v>133</v>
      </c>
      <c r="B9" s="28" t="n">
        <f aca="false">COUNTIFS(RW_Register!$C$5:$C$304,$A9,RW_Register!$Y$5:$Y$304,"Approved",RW_Register!$D$5:$D$304,"&gt;0",RW_Register!$D$5:$D$304,"&lt;=1.0")</f>
        <v>0</v>
      </c>
      <c r="C9" s="28" t="n">
        <f aca="false">COUNTIFS(RW_Register!$C$5:$C$304,$A9,RW_Register!$Y$5:$Y$304,"Approved",RW_Register!$D$5:$D$304,"&gt;1.0",RW_Register!$D$5:$D$304,"&lt;=1.5")</f>
        <v>0</v>
      </c>
      <c r="D9" s="28" t="n">
        <f aca="false">COUNTIFS(RW_Register!$C$5:$C$304,$A9,RW_Register!$Y$5:$Y$304,"Approved",RW_Register!$D$5:$D$304,"&gt;1.5",RW_Register!$D$5:$D$304,"&lt;=2.0")</f>
        <v>0</v>
      </c>
      <c r="E9" s="28" t="n">
        <f aca="false">COUNTIFS(RW_Register!$C$5:$C$304,$A9,RW_Register!$Y$5:$Y$304,"Approved",RW_Register!$D$5:$D$304,"&gt;2.0",RW_Register!$D$5:$D$304,"&lt;=2.5")</f>
        <v>0</v>
      </c>
      <c r="F9" s="28" t="n">
        <f aca="false">COUNTIFS(RW_Register!$C$5:$C$304,$A9,RW_Register!$Y$5:$Y$304,"Approved",RW_Register!$D$5:$D$304,"&gt;2.5",RW_Register!$D$5:$D$304,"&lt;=3.0")</f>
        <v>0</v>
      </c>
      <c r="G9" s="28" t="n">
        <f aca="false">COUNTIFS(RW_Register!$C$5:$C$304,$A9,RW_Register!$Y$5:$Y$304,"Approved",RW_Register!$D$5:$D$304,"&gt;3.0",RW_Register!$D$5:$D$304,"&lt;=3.5")</f>
        <v>0</v>
      </c>
      <c r="H9" s="28" t="n">
        <f aca="false">COUNTIFS(RW_Register!$C$5:$C$304,$A9,RW_Register!$Y$5:$Y$304,"Approved",RW_Register!$D$5:$D$304,"&gt;3.5",RW_Register!$D$5:$D$304,"&lt;=4.0")</f>
        <v>0</v>
      </c>
      <c r="I9" s="28" t="n">
        <f aca="false">COUNTIFS(RW_Register!$C$5:$C$304,$A9,RW_Register!$Y$5:$Y$304,"Approved",RW_Register!$D$5:$D$304,"&gt;4.0",RW_Register!$D$5:$D$304,"&lt;=4.5")</f>
        <v>0</v>
      </c>
      <c r="J9" s="28" t="n">
        <f aca="false">COUNTIFS(RW_Register!$C$5:$C$304,$A9,RW_Register!$Y$5:$Y$304,"Approved",RW_Register!$D$5:$D$304,"&gt;4.5",RW_Register!$D$5:$D$304,"&lt;=5.0")</f>
        <v>0</v>
      </c>
      <c r="K9" s="28" t="n">
        <f aca="false">COUNTIFS(RW_Register!$C$5:$C$304,$A9,RW_Register!$Y$5:$Y$304,"Approved",RW_Register!$D$5:$D$304,"&gt;5.0",RW_Register!$D$5:$D$304,"&lt;=6.0")</f>
        <v>0</v>
      </c>
    </row>
    <row r="10" customFormat="false" ht="15" hidden="false" customHeight="false" outlineLevel="0" collapsed="false">
      <c r="A10" s="27" t="s">
        <v>134</v>
      </c>
      <c r="B10" s="28" t="n">
        <f aca="false">COUNTIFS(RW_Register!$C$5:$C$304,$A10,RW_Register!$Y$5:$Y$304,"Approved",RW_Register!$D$5:$D$304,"&gt;0",RW_Register!$D$5:$D$304,"&lt;=1.0")</f>
        <v>0</v>
      </c>
      <c r="C10" s="28" t="n">
        <f aca="false">COUNTIFS(RW_Register!$C$5:$C$304,$A10,RW_Register!$Y$5:$Y$304,"Approved",RW_Register!$D$5:$D$304,"&gt;1.0",RW_Register!$D$5:$D$304,"&lt;=1.5")</f>
        <v>0</v>
      </c>
      <c r="D10" s="28" t="n">
        <f aca="false">COUNTIFS(RW_Register!$C$5:$C$304,$A10,RW_Register!$Y$5:$Y$304,"Approved",RW_Register!$D$5:$D$304,"&gt;1.5",RW_Register!$D$5:$D$304,"&lt;=2.0")</f>
        <v>0</v>
      </c>
      <c r="E10" s="28" t="n">
        <f aca="false">COUNTIFS(RW_Register!$C$5:$C$304,$A10,RW_Register!$Y$5:$Y$304,"Approved",RW_Register!$D$5:$D$304,"&gt;2.0",RW_Register!$D$5:$D$304,"&lt;=2.5")</f>
        <v>0</v>
      </c>
      <c r="F10" s="28" t="n">
        <f aca="false">COUNTIFS(RW_Register!$C$5:$C$304,$A10,RW_Register!$Y$5:$Y$304,"Approved",RW_Register!$D$5:$D$304,"&gt;2.5",RW_Register!$D$5:$D$304,"&lt;=3.0")</f>
        <v>0</v>
      </c>
      <c r="G10" s="28" t="n">
        <f aca="false">COUNTIFS(RW_Register!$C$5:$C$304,$A10,RW_Register!$Y$5:$Y$304,"Approved",RW_Register!$D$5:$D$304,"&gt;3.0",RW_Register!$D$5:$D$304,"&lt;=3.5")</f>
        <v>0</v>
      </c>
      <c r="H10" s="28" t="n">
        <f aca="false">COUNTIFS(RW_Register!$C$5:$C$304,$A10,RW_Register!$Y$5:$Y$304,"Approved",RW_Register!$D$5:$D$304,"&gt;3.5",RW_Register!$D$5:$D$304,"&lt;=4.0")</f>
        <v>0</v>
      </c>
      <c r="I10" s="28" t="n">
        <f aca="false">COUNTIFS(RW_Register!$C$5:$C$304,$A10,RW_Register!$Y$5:$Y$304,"Approved",RW_Register!$D$5:$D$304,"&gt;4.0",RW_Register!$D$5:$D$304,"&lt;=4.5")</f>
        <v>0</v>
      </c>
      <c r="J10" s="28" t="n">
        <f aca="false">COUNTIFS(RW_Register!$C$5:$C$304,$A10,RW_Register!$Y$5:$Y$304,"Approved",RW_Register!$D$5:$D$304,"&gt;4.5",RW_Register!$D$5:$D$304,"&lt;=5.0")</f>
        <v>0</v>
      </c>
      <c r="K10" s="28" t="n">
        <f aca="false">COUNTIFS(RW_Register!$C$5:$C$304,$A10,RW_Register!$Y$5:$Y$304,"Approved",RW_Register!$D$5:$D$304,"&gt;5.0",RW_Register!$D$5:$D$304,"&lt;=6.0")</f>
        <v>0</v>
      </c>
    </row>
    <row r="11" customFormat="false" ht="15" hidden="false" customHeight="false" outlineLevel="0" collapsed="false">
      <c r="A11" s="27" t="s">
        <v>135</v>
      </c>
      <c r="B11" s="28" t="n">
        <f aca="false">COUNTIFS(RW_Register!$C$5:$C$304,$A11,RW_Register!$Y$5:$Y$304,"Approved",RW_Register!$D$5:$D$304,"&gt;0",RW_Register!$D$5:$D$304,"&lt;=1.0")</f>
        <v>0</v>
      </c>
      <c r="C11" s="28" t="n">
        <f aca="false">COUNTIFS(RW_Register!$C$5:$C$304,$A11,RW_Register!$Y$5:$Y$304,"Approved",RW_Register!$D$5:$D$304,"&gt;1.0",RW_Register!$D$5:$D$304,"&lt;=1.5")</f>
        <v>0</v>
      </c>
      <c r="D11" s="28" t="n">
        <f aca="false">COUNTIFS(RW_Register!$C$5:$C$304,$A11,RW_Register!$Y$5:$Y$304,"Approved",RW_Register!$D$5:$D$304,"&gt;1.5",RW_Register!$D$5:$D$304,"&lt;=2.0")</f>
        <v>0</v>
      </c>
      <c r="E11" s="28" t="n">
        <f aca="false">COUNTIFS(RW_Register!$C$5:$C$304,$A11,RW_Register!$Y$5:$Y$304,"Approved",RW_Register!$D$5:$D$304,"&gt;2.0",RW_Register!$D$5:$D$304,"&lt;=2.5")</f>
        <v>0</v>
      </c>
      <c r="F11" s="28" t="n">
        <f aca="false">COUNTIFS(RW_Register!$C$5:$C$304,$A11,RW_Register!$Y$5:$Y$304,"Approved",RW_Register!$D$5:$D$304,"&gt;2.5",RW_Register!$D$5:$D$304,"&lt;=3.0")</f>
        <v>0</v>
      </c>
      <c r="G11" s="28" t="n">
        <f aca="false">COUNTIFS(RW_Register!$C$5:$C$304,$A11,RW_Register!$Y$5:$Y$304,"Approved",RW_Register!$D$5:$D$304,"&gt;3.0",RW_Register!$D$5:$D$304,"&lt;=3.5")</f>
        <v>0</v>
      </c>
      <c r="H11" s="28" t="n">
        <f aca="false">COUNTIFS(RW_Register!$C$5:$C$304,$A11,RW_Register!$Y$5:$Y$304,"Approved",RW_Register!$D$5:$D$304,"&gt;3.5",RW_Register!$D$5:$D$304,"&lt;=4.0")</f>
        <v>0</v>
      </c>
      <c r="I11" s="28" t="n">
        <f aca="false">COUNTIFS(RW_Register!$C$5:$C$304,$A11,RW_Register!$Y$5:$Y$304,"Approved",RW_Register!$D$5:$D$304,"&gt;4.0",RW_Register!$D$5:$D$304,"&lt;=4.5")</f>
        <v>0</v>
      </c>
      <c r="J11" s="28" t="n">
        <f aca="false">COUNTIFS(RW_Register!$C$5:$C$304,$A11,RW_Register!$Y$5:$Y$304,"Approved",RW_Register!$D$5:$D$304,"&gt;4.5",RW_Register!$D$5:$D$304,"&lt;=5.0")</f>
        <v>0</v>
      </c>
      <c r="K11" s="28" t="n">
        <f aca="false">COUNTIFS(RW_Register!$C$5:$C$304,$A11,RW_Register!$Y$5:$Y$304,"Approved",RW_Register!$D$5:$D$304,"&gt;5.0",RW_Register!$D$5:$D$304,"&lt;=6.0")</f>
        <v>0</v>
      </c>
    </row>
    <row r="12" customFormat="false" ht="15" hidden="false" customHeight="false" outlineLevel="0" collapsed="false">
      <c r="A12" s="27" t="s">
        <v>136</v>
      </c>
      <c r="B12" s="28" t="n">
        <f aca="false">COUNTIFS(RW_Register!$C$5:$C$304,$A12,RW_Register!$Y$5:$Y$304,"Approved",RW_Register!$D$5:$D$304,"&gt;0",RW_Register!$D$5:$D$304,"&lt;=1.0")</f>
        <v>0</v>
      </c>
      <c r="C12" s="28" t="n">
        <f aca="false">COUNTIFS(RW_Register!$C$5:$C$304,$A12,RW_Register!$Y$5:$Y$304,"Approved",RW_Register!$D$5:$D$304,"&gt;1.0",RW_Register!$D$5:$D$304,"&lt;=1.5")</f>
        <v>0</v>
      </c>
      <c r="D12" s="28" t="n">
        <f aca="false">COUNTIFS(RW_Register!$C$5:$C$304,$A12,RW_Register!$Y$5:$Y$304,"Approved",RW_Register!$D$5:$D$304,"&gt;1.5",RW_Register!$D$5:$D$304,"&lt;=2.0")</f>
        <v>0</v>
      </c>
      <c r="E12" s="28" t="n">
        <f aca="false">COUNTIFS(RW_Register!$C$5:$C$304,$A12,RW_Register!$Y$5:$Y$304,"Approved",RW_Register!$D$5:$D$304,"&gt;2.0",RW_Register!$D$5:$D$304,"&lt;=2.5")</f>
        <v>0</v>
      </c>
      <c r="F12" s="28" t="n">
        <f aca="false">COUNTIFS(RW_Register!$C$5:$C$304,$A12,RW_Register!$Y$5:$Y$304,"Approved",RW_Register!$D$5:$D$304,"&gt;2.5",RW_Register!$D$5:$D$304,"&lt;=3.0")</f>
        <v>0</v>
      </c>
      <c r="G12" s="28" t="n">
        <f aca="false">COUNTIFS(RW_Register!$C$5:$C$304,$A12,RW_Register!$Y$5:$Y$304,"Approved",RW_Register!$D$5:$D$304,"&gt;3.0",RW_Register!$D$5:$D$304,"&lt;=3.5")</f>
        <v>0</v>
      </c>
      <c r="H12" s="28" t="n">
        <f aca="false">COUNTIFS(RW_Register!$C$5:$C$304,$A12,RW_Register!$Y$5:$Y$304,"Approved",RW_Register!$D$5:$D$304,"&gt;3.5",RW_Register!$D$5:$D$304,"&lt;=4.0")</f>
        <v>0</v>
      </c>
      <c r="I12" s="28" t="n">
        <f aca="false">COUNTIFS(RW_Register!$C$5:$C$304,$A12,RW_Register!$Y$5:$Y$304,"Approved",RW_Register!$D$5:$D$304,"&gt;4.0",RW_Register!$D$5:$D$304,"&lt;=4.5")</f>
        <v>0</v>
      </c>
      <c r="J12" s="28" t="n">
        <f aca="false">COUNTIFS(RW_Register!$C$5:$C$304,$A12,RW_Register!$Y$5:$Y$304,"Approved",RW_Register!$D$5:$D$304,"&gt;4.5",RW_Register!$D$5:$D$304,"&lt;=5.0")</f>
        <v>0</v>
      </c>
      <c r="K12" s="28" t="n">
        <f aca="false">COUNTIFS(RW_Register!$C$5:$C$304,$A12,RW_Register!$Y$5:$Y$304,"Approved",RW_Register!$D$5:$D$304,"&gt;5.0",RW_Register!$D$5:$D$304,"&lt;=6.0")</f>
        <v>0</v>
      </c>
    </row>
    <row r="13" customFormat="false" ht="15" hidden="false" customHeight="false" outlineLevel="0" collapsed="false">
      <c r="A13" s="27" t="s">
        <v>137</v>
      </c>
      <c r="B13" s="28" t="n">
        <f aca="false">COUNTIFS(RW_Register!$C$5:$C$304,$A13,RW_Register!$Y$5:$Y$304,"Approved",RW_Register!$D$5:$D$304,"&gt;0",RW_Register!$D$5:$D$304,"&lt;=1.0")</f>
        <v>0</v>
      </c>
      <c r="C13" s="28" t="n">
        <f aca="false">COUNTIFS(RW_Register!$C$5:$C$304,$A13,RW_Register!$Y$5:$Y$304,"Approved",RW_Register!$D$5:$D$304,"&gt;1.0",RW_Register!$D$5:$D$304,"&lt;=1.5")</f>
        <v>0</v>
      </c>
      <c r="D13" s="28" t="n">
        <f aca="false">COUNTIFS(RW_Register!$C$5:$C$304,$A13,RW_Register!$Y$5:$Y$304,"Approved",RW_Register!$D$5:$D$304,"&gt;1.5",RW_Register!$D$5:$D$304,"&lt;=2.0")</f>
        <v>0</v>
      </c>
      <c r="E13" s="28" t="n">
        <f aca="false">COUNTIFS(RW_Register!$C$5:$C$304,$A13,RW_Register!$Y$5:$Y$304,"Approved",RW_Register!$D$5:$D$304,"&gt;2.0",RW_Register!$D$5:$D$304,"&lt;=2.5")</f>
        <v>0</v>
      </c>
      <c r="F13" s="28" t="n">
        <f aca="false">COUNTIFS(RW_Register!$C$5:$C$304,$A13,RW_Register!$Y$5:$Y$304,"Approved",RW_Register!$D$5:$D$304,"&gt;2.5",RW_Register!$D$5:$D$304,"&lt;=3.0")</f>
        <v>0</v>
      </c>
      <c r="G13" s="28" t="n">
        <f aca="false">COUNTIFS(RW_Register!$C$5:$C$304,$A13,RW_Register!$Y$5:$Y$304,"Approved",RW_Register!$D$5:$D$304,"&gt;3.0",RW_Register!$D$5:$D$304,"&lt;=3.5")</f>
        <v>0</v>
      </c>
      <c r="H13" s="28" t="n">
        <f aca="false">COUNTIFS(RW_Register!$C$5:$C$304,$A13,RW_Register!$Y$5:$Y$304,"Approved",RW_Register!$D$5:$D$304,"&gt;3.5",RW_Register!$D$5:$D$304,"&lt;=4.0")</f>
        <v>0</v>
      </c>
      <c r="I13" s="28" t="n">
        <f aca="false">COUNTIFS(RW_Register!$C$5:$C$304,$A13,RW_Register!$Y$5:$Y$304,"Approved",RW_Register!$D$5:$D$304,"&gt;4.0",RW_Register!$D$5:$D$304,"&lt;=4.5")</f>
        <v>0</v>
      </c>
      <c r="J13" s="28" t="n">
        <f aca="false">COUNTIFS(RW_Register!$C$5:$C$304,$A13,RW_Register!$Y$5:$Y$304,"Approved",RW_Register!$D$5:$D$304,"&gt;4.5",RW_Register!$D$5:$D$304,"&lt;=5.0")</f>
        <v>0</v>
      </c>
      <c r="K13" s="28" t="n">
        <f aca="false">COUNTIFS(RW_Register!$C$5:$C$304,$A13,RW_Register!$Y$5:$Y$304,"Approved",RW_Register!$D$5:$D$304,"&gt;5.0",RW_Register!$D$5:$D$304,"&lt;=6.0")</f>
        <v>0</v>
      </c>
    </row>
    <row r="15" customFormat="false" ht="15" hidden="false" customHeight="false" outlineLevel="0" collapsed="false">
      <c r="A15" s="26" t="s">
        <v>138</v>
      </c>
    </row>
    <row r="16" customFormat="false" ht="15" hidden="false" customHeight="false" outlineLevel="0" collapsed="false">
      <c r="A16" s="7" t="s">
        <v>66</v>
      </c>
      <c r="B16" s="7" t="n">
        <v>300</v>
      </c>
      <c r="C16" s="7" t="n">
        <v>450</v>
      </c>
      <c r="D16" s="7" t="n">
        <v>600</v>
      </c>
      <c r="E16" s="7" t="n">
        <v>750</v>
      </c>
      <c r="F16" s="7" t="n">
        <v>900</v>
      </c>
      <c r="G16" s="7" t="n">
        <v>1200</v>
      </c>
      <c r="H16" s="7" t="n">
        <v>1500</v>
      </c>
      <c r="I16" s="7" t="n">
        <v>1800</v>
      </c>
      <c r="J16" s="7" t="n">
        <v>2000</v>
      </c>
    </row>
    <row r="17" customFormat="false" ht="15" hidden="false" customHeight="false" outlineLevel="0" collapsed="false">
      <c r="A17" s="27" t="s">
        <v>139</v>
      </c>
      <c r="B17" s="28" t="n">
        <f aca="false">COUNTIFS(Drain_Register!$C$5:$C$304,"U-Drain",Drain_Register!$H$5:$H$304,$A17,Drain_Register!$S$5:$S$304,"Approved",Drain_Register!$D$5:$D$304,B$16)</f>
        <v>0</v>
      </c>
      <c r="C17" s="28" t="n">
        <f aca="false">COUNTIFS(Drain_Register!$C$5:$C$304,"U-Drain",Drain_Register!$H$5:$H$304,$A17,Drain_Register!$S$5:$S$304,"Approved",Drain_Register!$D$5:$D$304,C$16)</f>
        <v>0</v>
      </c>
      <c r="D17" s="28" t="n">
        <f aca="false">COUNTIFS(Drain_Register!$C$5:$C$304,"U-Drain",Drain_Register!$H$5:$H$304,$A17,Drain_Register!$S$5:$S$304,"Approved",Drain_Register!$D$5:$D$304,D$16)</f>
        <v>0</v>
      </c>
      <c r="E17" s="28" t="n">
        <f aca="false">COUNTIFS(Drain_Register!$C$5:$C$304,"U-Drain",Drain_Register!$H$5:$H$304,$A17,Drain_Register!$S$5:$S$304,"Approved",Drain_Register!$D$5:$D$304,E$16)</f>
        <v>0</v>
      </c>
      <c r="F17" s="28" t="n">
        <f aca="false">COUNTIFS(Drain_Register!$C$5:$C$304,"U-Drain",Drain_Register!$H$5:$H$304,$A17,Drain_Register!$S$5:$S$304,"Approved",Drain_Register!$D$5:$D$304,F$16)</f>
        <v>0</v>
      </c>
      <c r="G17" s="28" t="n">
        <f aca="false">COUNTIFS(Drain_Register!$C$5:$C$304,"U-Drain",Drain_Register!$H$5:$H$304,$A17,Drain_Register!$S$5:$S$304,"Approved",Drain_Register!$D$5:$D$304,G$16)</f>
        <v>0</v>
      </c>
      <c r="H17" s="28" t="n">
        <f aca="false">COUNTIFS(Drain_Register!$C$5:$C$304,"U-Drain",Drain_Register!$H$5:$H$304,$A17,Drain_Register!$S$5:$S$304,"Approved",Drain_Register!$D$5:$D$304,H$16)</f>
        <v>0</v>
      </c>
      <c r="I17" s="28" t="n">
        <f aca="false">COUNTIFS(Drain_Register!$C$5:$C$304,"U-Drain",Drain_Register!$H$5:$H$304,$A17,Drain_Register!$S$5:$S$304,"Approved",Drain_Register!$D$5:$D$304,I$16)</f>
        <v>0</v>
      </c>
      <c r="J17" s="28" t="n">
        <f aca="false">COUNTIFS(Drain_Register!$C$5:$C$304,"U-Drain",Drain_Register!$H$5:$H$304,$A17,Drain_Register!$S$5:$S$304,"Approved",Drain_Register!$D$5:$D$304,J$16)</f>
        <v>0</v>
      </c>
    </row>
    <row r="18" customFormat="false" ht="15" hidden="false" customHeight="false" outlineLevel="0" collapsed="false">
      <c r="A18" s="27" t="s">
        <v>140</v>
      </c>
      <c r="B18" s="28" t="n">
        <f aca="false">COUNTIFS(Drain_Register!$C$5:$C$304,"U-Drain",Drain_Register!$H$5:$H$304,$A18,Drain_Register!$S$5:$S$304,"Approved",Drain_Register!$D$5:$D$304,B$16)</f>
        <v>1</v>
      </c>
      <c r="C18" s="28" t="n">
        <f aca="false">COUNTIFS(Drain_Register!$C$5:$C$304,"U-Drain",Drain_Register!$H$5:$H$304,$A18,Drain_Register!$S$5:$S$304,"Approved",Drain_Register!$D$5:$D$304,C$16)</f>
        <v>0</v>
      </c>
      <c r="D18" s="28" t="n">
        <f aca="false">COUNTIFS(Drain_Register!$C$5:$C$304,"U-Drain",Drain_Register!$H$5:$H$304,$A18,Drain_Register!$S$5:$S$304,"Approved",Drain_Register!$D$5:$D$304,D$16)</f>
        <v>1</v>
      </c>
      <c r="E18" s="28" t="n">
        <f aca="false">COUNTIFS(Drain_Register!$C$5:$C$304,"U-Drain",Drain_Register!$H$5:$H$304,$A18,Drain_Register!$S$5:$S$304,"Approved",Drain_Register!$D$5:$D$304,E$16)</f>
        <v>0</v>
      </c>
      <c r="F18" s="28" t="n">
        <f aca="false">COUNTIFS(Drain_Register!$C$5:$C$304,"U-Drain",Drain_Register!$H$5:$H$304,$A18,Drain_Register!$S$5:$S$304,"Approved",Drain_Register!$D$5:$D$304,F$16)</f>
        <v>0</v>
      </c>
      <c r="G18" s="28" t="n">
        <f aca="false">COUNTIFS(Drain_Register!$C$5:$C$304,"U-Drain",Drain_Register!$H$5:$H$304,$A18,Drain_Register!$S$5:$S$304,"Approved",Drain_Register!$D$5:$D$304,G$16)</f>
        <v>0</v>
      </c>
      <c r="H18" s="28" t="n">
        <f aca="false">COUNTIFS(Drain_Register!$C$5:$C$304,"U-Drain",Drain_Register!$H$5:$H$304,$A18,Drain_Register!$S$5:$S$304,"Approved",Drain_Register!$D$5:$D$304,H$16)</f>
        <v>0</v>
      </c>
      <c r="I18" s="28" t="n">
        <f aca="false">COUNTIFS(Drain_Register!$C$5:$C$304,"U-Drain",Drain_Register!$H$5:$H$304,$A18,Drain_Register!$S$5:$S$304,"Approved",Drain_Register!$D$5:$D$304,I$16)</f>
        <v>0</v>
      </c>
      <c r="J18" s="28" t="n">
        <f aca="false">COUNTIFS(Drain_Register!$C$5:$C$304,"U-Drain",Drain_Register!$H$5:$H$304,$A18,Drain_Register!$S$5:$S$304,"Approved",Drain_Register!$D$5:$D$304,J$16)</f>
        <v>0</v>
      </c>
    </row>
    <row r="19" customFormat="false" ht="15" hidden="false" customHeight="false" outlineLevel="0" collapsed="false">
      <c r="A19" s="27" t="s">
        <v>67</v>
      </c>
      <c r="B19" s="28" t="n">
        <f aca="false">COUNTIFS(Drain_Register!$C$5:$C$304,"U-Drain",Drain_Register!$H$5:$H$304,$A19,Drain_Register!$S$5:$S$304,"Approved",Drain_Register!$D$5:$D$304,B$16)</f>
        <v>0</v>
      </c>
      <c r="C19" s="28" t="n">
        <f aca="false">COUNTIFS(Drain_Register!$C$5:$C$304,"U-Drain",Drain_Register!$H$5:$H$304,$A19,Drain_Register!$S$5:$S$304,"Approved",Drain_Register!$D$5:$D$304,C$16)</f>
        <v>0</v>
      </c>
      <c r="D19" s="28" t="n">
        <f aca="false">COUNTIFS(Drain_Register!$C$5:$C$304,"U-Drain",Drain_Register!$H$5:$H$304,$A19,Drain_Register!$S$5:$S$304,"Approved",Drain_Register!$D$5:$D$304,D$16)</f>
        <v>1</v>
      </c>
      <c r="E19" s="28" t="n">
        <f aca="false">COUNTIFS(Drain_Register!$C$5:$C$304,"U-Drain",Drain_Register!$H$5:$H$304,$A19,Drain_Register!$S$5:$S$304,"Approved",Drain_Register!$D$5:$D$304,E$16)</f>
        <v>0</v>
      </c>
      <c r="F19" s="28" t="n">
        <f aca="false">COUNTIFS(Drain_Register!$C$5:$C$304,"U-Drain",Drain_Register!$H$5:$H$304,$A19,Drain_Register!$S$5:$S$304,"Approved",Drain_Register!$D$5:$D$304,F$16)</f>
        <v>1</v>
      </c>
      <c r="G19" s="28" t="n">
        <f aca="false">COUNTIFS(Drain_Register!$C$5:$C$304,"U-Drain",Drain_Register!$H$5:$H$304,$A19,Drain_Register!$S$5:$S$304,"Approved",Drain_Register!$D$5:$D$304,G$16)</f>
        <v>0</v>
      </c>
      <c r="H19" s="28" t="n">
        <f aca="false">COUNTIFS(Drain_Register!$C$5:$C$304,"U-Drain",Drain_Register!$H$5:$H$304,$A19,Drain_Register!$S$5:$S$304,"Approved",Drain_Register!$D$5:$D$304,H$16)</f>
        <v>0</v>
      </c>
      <c r="I19" s="28" t="n">
        <f aca="false">COUNTIFS(Drain_Register!$C$5:$C$304,"U-Drain",Drain_Register!$H$5:$H$304,$A19,Drain_Register!$S$5:$S$304,"Approved",Drain_Register!$D$5:$D$304,I$16)</f>
        <v>0</v>
      </c>
      <c r="J19" s="28" t="n">
        <f aca="false">COUNTIFS(Drain_Register!$C$5:$C$304,"U-Drain",Drain_Register!$H$5:$H$304,$A19,Drain_Register!$S$5:$S$304,"Approved",Drain_Register!$D$5:$D$304,J$16)</f>
        <v>0</v>
      </c>
    </row>
    <row r="20" customFormat="false" ht="15" hidden="false" customHeight="false" outlineLevel="0" collapsed="false">
      <c r="A20" s="27" t="s">
        <v>141</v>
      </c>
      <c r="B20" s="28" t="n">
        <f aca="false">COUNTIFS(Drain_Register!$C$5:$C$304,"U-Drain",Drain_Register!$H$5:$H$304,$A20,Drain_Register!$S$5:$S$304,"Approved",Drain_Register!$D$5:$D$304,B$16)</f>
        <v>0</v>
      </c>
      <c r="C20" s="28" t="n">
        <f aca="false">COUNTIFS(Drain_Register!$C$5:$C$304,"U-Drain",Drain_Register!$H$5:$H$304,$A20,Drain_Register!$S$5:$S$304,"Approved",Drain_Register!$D$5:$D$304,C$16)</f>
        <v>0</v>
      </c>
      <c r="D20" s="28" t="n">
        <f aca="false">COUNTIFS(Drain_Register!$C$5:$C$304,"U-Drain",Drain_Register!$H$5:$H$304,$A20,Drain_Register!$S$5:$S$304,"Approved",Drain_Register!$D$5:$D$304,D$16)</f>
        <v>0</v>
      </c>
      <c r="E20" s="28" t="n">
        <f aca="false">COUNTIFS(Drain_Register!$C$5:$C$304,"U-Drain",Drain_Register!$H$5:$H$304,$A20,Drain_Register!$S$5:$S$304,"Approved",Drain_Register!$D$5:$D$304,E$16)</f>
        <v>0</v>
      </c>
      <c r="F20" s="28" t="n">
        <f aca="false">COUNTIFS(Drain_Register!$C$5:$C$304,"U-Drain",Drain_Register!$H$5:$H$304,$A20,Drain_Register!$S$5:$S$304,"Approved",Drain_Register!$D$5:$D$304,F$16)</f>
        <v>0</v>
      </c>
      <c r="G20" s="28" t="n">
        <f aca="false">COUNTIFS(Drain_Register!$C$5:$C$304,"U-Drain",Drain_Register!$H$5:$H$304,$A20,Drain_Register!$S$5:$S$304,"Approved",Drain_Register!$D$5:$D$304,G$16)</f>
        <v>0</v>
      </c>
      <c r="H20" s="28" t="n">
        <f aca="false">COUNTIFS(Drain_Register!$C$5:$C$304,"U-Drain",Drain_Register!$H$5:$H$304,$A20,Drain_Register!$S$5:$S$304,"Approved",Drain_Register!$D$5:$D$304,H$16)</f>
        <v>0</v>
      </c>
      <c r="I20" s="28" t="n">
        <f aca="false">COUNTIFS(Drain_Register!$C$5:$C$304,"U-Drain",Drain_Register!$H$5:$H$304,$A20,Drain_Register!$S$5:$S$304,"Approved",Drain_Register!$D$5:$D$304,I$16)</f>
        <v>0</v>
      </c>
      <c r="J20" s="28" t="n">
        <f aca="false">COUNTIFS(Drain_Register!$C$5:$C$304,"U-Drain",Drain_Register!$H$5:$H$304,$A20,Drain_Register!$S$5:$S$304,"Approved",Drain_Register!$D$5:$D$304,J$16)</f>
        <v>0</v>
      </c>
    </row>
    <row r="22" customFormat="false" ht="15" hidden="false" customHeight="false" outlineLevel="0" collapsed="false">
      <c r="A22" s="26" t="s">
        <v>142</v>
      </c>
    </row>
    <row r="23" customFormat="false" ht="15" hidden="false" customHeight="false" outlineLevel="0" collapsed="false">
      <c r="A23" s="7" t="s">
        <v>100</v>
      </c>
      <c r="B23" s="7" t="s">
        <v>143</v>
      </c>
      <c r="C23" s="7" t="s">
        <v>144</v>
      </c>
      <c r="D23" s="7" t="s">
        <v>32</v>
      </c>
      <c r="E23" s="7" t="s">
        <v>145</v>
      </c>
    </row>
    <row r="24" customFormat="false" ht="15" hidden="false" customHeight="false" outlineLevel="0" collapsed="false">
      <c r="A24" s="27" t="s">
        <v>146</v>
      </c>
      <c r="B24" s="29" t="n">
        <f aca="false">COUNTIF(Drain_Register!$S$5:$S$304,$A24)</f>
        <v>0</v>
      </c>
      <c r="C24" s="29" t="n">
        <f aca="false">COUNTIF(RW_Register!$Y$5:$Y$304,$A24)</f>
        <v>0</v>
      </c>
      <c r="D24" s="29" t="n">
        <f aca="false">COUNTIF(Other_Register!$N$5:$N$304,$A24)</f>
        <v>1</v>
      </c>
      <c r="E24" s="8" t="n">
        <f aca="false">SUM(B24:D24)</f>
        <v>1</v>
      </c>
    </row>
    <row r="25" customFormat="false" ht="15" hidden="false" customHeight="false" outlineLevel="0" collapsed="false">
      <c r="A25" s="27" t="s">
        <v>147</v>
      </c>
      <c r="B25" s="29" t="n">
        <f aca="false">COUNTIF(Drain_Register!$S$5:$S$304,$A25)</f>
        <v>1</v>
      </c>
      <c r="C25" s="29" t="n">
        <f aca="false">COUNTIF(RW_Register!$Y$5:$Y$304,$A25)</f>
        <v>1</v>
      </c>
      <c r="D25" s="29" t="n">
        <f aca="false">COUNTIF(Other_Register!$N$5:$N$304,$A25)</f>
        <v>1</v>
      </c>
      <c r="E25" s="8" t="n">
        <f aca="false">SUM(B25:D25)</f>
        <v>3</v>
      </c>
    </row>
    <row r="26" customFormat="false" ht="15" hidden="false" customHeight="false" outlineLevel="0" collapsed="false">
      <c r="A26" s="27" t="s">
        <v>148</v>
      </c>
      <c r="B26" s="29" t="n">
        <f aca="false">COUNTIF(Drain_Register!$S$5:$S$304,$A26)</f>
        <v>6</v>
      </c>
      <c r="C26" s="29" t="n">
        <f aca="false">COUNTIF(RW_Register!$Y$5:$Y$304,$A26)</f>
        <v>8</v>
      </c>
      <c r="D26" s="29" t="n">
        <f aca="false">COUNTIF(Other_Register!$N$5:$N$304,$A26)</f>
        <v>4</v>
      </c>
      <c r="E26" s="8" t="n">
        <f aca="false">SUM(B26:D26)</f>
        <v>18</v>
      </c>
    </row>
    <row r="27" customFormat="false" ht="15" hidden="false" customHeight="false" outlineLevel="0" collapsed="false">
      <c r="A27" s="27" t="s">
        <v>149</v>
      </c>
      <c r="B27" s="29" t="n">
        <f aca="false">COUNTIF(Drain_Register!$S$5:$S$304,$A27)</f>
        <v>1</v>
      </c>
      <c r="C27" s="29" t="n">
        <f aca="false">COUNTIF(RW_Register!$Y$5:$Y$304,$A27)</f>
        <v>0</v>
      </c>
      <c r="D27" s="29" t="n">
        <f aca="false">COUNTIF(Other_Register!$N$5:$N$304,$A27)</f>
        <v>0</v>
      </c>
      <c r="E27" s="8" t="n">
        <f aca="false">SUM(B27:D27)</f>
        <v>1</v>
      </c>
    </row>
  </sheetData>
  <conditionalFormatting sqref="B5:K13">
    <cfRule type="cellIs" priority="2" operator="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B17:J20">
    <cfRule type="cellIs" priority="4" operator="equal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10" min="10" style="0" width="26"/>
    <col collapsed="false" customWidth="true" hidden="false" outlineLevel="0" max="11" min="11" style="0" width="8"/>
    <col collapsed="false" customWidth="true" hidden="false" outlineLevel="0" max="13" min="13" style="0" width="26"/>
    <col collapsed="false" customWidth="true" hidden="false" outlineLevel="0" max="14" min="14" style="0" width="8"/>
    <col collapsed="false" customWidth="true" hidden="false" outlineLevel="0" max="16" min="16" style="0" width="26"/>
    <col collapsed="false" customWidth="true" hidden="false" outlineLevel="0" max="17" min="17" style="0" width="8"/>
    <col collapsed="false" customWidth="true" hidden="false" outlineLevel="0" max="19" min="19" style="0" width="26"/>
    <col collapsed="false" customWidth="true" hidden="false" outlineLevel="0" max="20" min="20" style="0" width="8"/>
    <col collapsed="false" customWidth="true" hidden="false" outlineLevel="0" max="22" min="22" style="0" width="26"/>
    <col collapsed="false" customWidth="true" hidden="false" outlineLevel="0" max="23" min="23" style="0" width="8"/>
    <col collapsed="false" customWidth="true" hidden="false" outlineLevel="0" max="25" min="25" style="0" width="26"/>
    <col collapsed="false" customWidth="true" hidden="false" outlineLevel="0" max="26" min="26" style="0" width="8"/>
    <col collapsed="false" customWidth="true" hidden="false" outlineLevel="0" max="28" min="28" style="0" width="26"/>
    <col collapsed="false" customWidth="true" hidden="false" outlineLevel="0" max="29" min="29" style="0" width="8"/>
    <col collapsed="false" customWidth="true" hidden="false" outlineLevel="0" max="31" min="31" style="0" width="26"/>
    <col collapsed="false" customWidth="true" hidden="false" outlineLevel="0" max="32" min="32" style="0" width="8"/>
  </cols>
  <sheetData>
    <row r="1" customFormat="false" ht="15" hidden="false" customHeight="false" outlineLevel="0" collapsed="false">
      <c r="A1" s="6" t="s">
        <v>150</v>
      </c>
    </row>
    <row r="3" customFormat="false" ht="15" hidden="false" customHeight="false" outlineLevel="0" collapsed="false">
      <c r="A3" s="26" t="s">
        <v>151</v>
      </c>
      <c r="B3" s="26" t="s">
        <v>152</v>
      </c>
      <c r="D3" s="26" t="s">
        <v>66</v>
      </c>
      <c r="E3" s="26" t="s">
        <v>152</v>
      </c>
      <c r="G3" s="26" t="s">
        <v>153</v>
      </c>
      <c r="H3" s="26" t="s">
        <v>152</v>
      </c>
      <c r="J3" s="26" t="s">
        <v>154</v>
      </c>
      <c r="K3" s="26" t="s">
        <v>152</v>
      </c>
      <c r="M3" s="26" t="s">
        <v>155</v>
      </c>
      <c r="N3" s="26" t="s">
        <v>152</v>
      </c>
      <c r="P3" s="26" t="s">
        <v>100</v>
      </c>
      <c r="Q3" s="26" t="s">
        <v>152</v>
      </c>
      <c r="S3" s="26" t="s">
        <v>156</v>
      </c>
      <c r="T3" s="26" t="s">
        <v>152</v>
      </c>
      <c r="V3" s="26" t="s">
        <v>157</v>
      </c>
      <c r="W3" s="26" t="s">
        <v>152</v>
      </c>
      <c r="Y3" s="26" t="s">
        <v>158</v>
      </c>
      <c r="Z3" s="26" t="s">
        <v>152</v>
      </c>
      <c r="AB3" s="26" t="s">
        <v>98</v>
      </c>
      <c r="AC3" s="26" t="s">
        <v>152</v>
      </c>
      <c r="AE3" s="26" t="s">
        <v>159</v>
      </c>
      <c r="AF3" s="26" t="s">
        <v>152</v>
      </c>
    </row>
    <row r="4" customFormat="false" ht="15" hidden="false" customHeight="false" outlineLevel="0" collapsed="false">
      <c r="A4" s="30" t="s">
        <v>59</v>
      </c>
      <c r="B4" s="30" t="s">
        <v>160</v>
      </c>
      <c r="D4" s="30" t="s">
        <v>139</v>
      </c>
      <c r="E4" s="30" t="s">
        <v>161</v>
      </c>
      <c r="G4" s="30" t="s">
        <v>162</v>
      </c>
      <c r="J4" s="30" t="s">
        <v>163</v>
      </c>
      <c r="M4" s="30" t="s">
        <v>61</v>
      </c>
      <c r="N4" s="30" t="s">
        <v>164</v>
      </c>
      <c r="P4" s="30" t="s">
        <v>146</v>
      </c>
      <c r="S4" s="30" t="s">
        <v>165</v>
      </c>
      <c r="V4" s="30" t="s">
        <v>166</v>
      </c>
      <c r="Y4" s="30" t="s">
        <v>167</v>
      </c>
      <c r="Z4" s="30" t="s">
        <v>168</v>
      </c>
      <c r="AB4" s="30" t="s">
        <v>169</v>
      </c>
      <c r="AE4" s="30" t="s">
        <v>170</v>
      </c>
    </row>
    <row r="5" customFormat="false" ht="15" hidden="false" customHeight="false" outlineLevel="0" collapsed="false">
      <c r="A5" s="30" t="s">
        <v>171</v>
      </c>
      <c r="B5" s="30" t="s">
        <v>172</v>
      </c>
      <c r="D5" s="30" t="s">
        <v>140</v>
      </c>
      <c r="E5" s="30" t="s">
        <v>173</v>
      </c>
      <c r="G5" s="30" t="s">
        <v>174</v>
      </c>
      <c r="J5" s="30" t="s">
        <v>175</v>
      </c>
      <c r="M5" s="30" t="s">
        <v>130</v>
      </c>
      <c r="N5" s="30" t="s">
        <v>176</v>
      </c>
      <c r="P5" s="30" t="s">
        <v>147</v>
      </c>
      <c r="S5" s="30" t="s">
        <v>69</v>
      </c>
      <c r="V5" s="30" t="s">
        <v>177</v>
      </c>
      <c r="Y5" s="30" t="s">
        <v>178</v>
      </c>
      <c r="Z5" s="30" t="s">
        <v>179</v>
      </c>
      <c r="AB5" s="30" t="s">
        <v>180</v>
      </c>
      <c r="AE5" s="30" t="s">
        <v>181</v>
      </c>
    </row>
    <row r="6" customFormat="false" ht="15" hidden="false" customHeight="false" outlineLevel="0" collapsed="false">
      <c r="A6" s="30" t="s">
        <v>182</v>
      </c>
      <c r="B6" s="30" t="s">
        <v>183</v>
      </c>
      <c r="D6" s="30" t="s">
        <v>67</v>
      </c>
      <c r="E6" s="30" t="s">
        <v>184</v>
      </c>
      <c r="J6" s="30" t="s">
        <v>185</v>
      </c>
      <c r="M6" s="30" t="s">
        <v>131</v>
      </c>
      <c r="N6" s="30" t="s">
        <v>186</v>
      </c>
      <c r="P6" s="30" t="s">
        <v>148</v>
      </c>
      <c r="V6" s="30" t="s">
        <v>187</v>
      </c>
      <c r="Y6" s="30" t="s">
        <v>188</v>
      </c>
      <c r="Z6" s="30" t="s">
        <v>189</v>
      </c>
      <c r="AB6" s="30" t="s">
        <v>190</v>
      </c>
      <c r="AE6" s="30" t="s">
        <v>191</v>
      </c>
    </row>
    <row r="7" customFormat="false" ht="15" hidden="false" customHeight="false" outlineLevel="0" collapsed="false">
      <c r="A7" s="30" t="s">
        <v>192</v>
      </c>
      <c r="B7" s="30" t="s">
        <v>193</v>
      </c>
      <c r="D7" s="30" t="s">
        <v>141</v>
      </c>
      <c r="E7" s="30" t="s">
        <v>194</v>
      </c>
      <c r="J7" s="30" t="s">
        <v>195</v>
      </c>
      <c r="M7" s="30" t="s">
        <v>132</v>
      </c>
      <c r="N7" s="30" t="s">
        <v>196</v>
      </c>
      <c r="P7" s="30" t="s">
        <v>149</v>
      </c>
      <c r="V7" s="30" t="s">
        <v>197</v>
      </c>
      <c r="Y7" s="30" t="s">
        <v>198</v>
      </c>
      <c r="Z7" s="30" t="s">
        <v>198</v>
      </c>
      <c r="AB7" s="30" t="s">
        <v>199</v>
      </c>
      <c r="AE7" s="30" t="s">
        <v>200</v>
      </c>
    </row>
    <row r="8" customFormat="false" ht="15" hidden="false" customHeight="false" outlineLevel="0" collapsed="false">
      <c r="A8" s="30" t="s">
        <v>201</v>
      </c>
      <c r="B8" s="30" t="s">
        <v>202</v>
      </c>
      <c r="J8" s="30" t="s">
        <v>203</v>
      </c>
      <c r="M8" s="30" t="s">
        <v>133</v>
      </c>
      <c r="N8" s="30" t="s">
        <v>204</v>
      </c>
      <c r="V8" s="30" t="s">
        <v>205</v>
      </c>
      <c r="Y8" s="30" t="s">
        <v>206</v>
      </c>
      <c r="Z8" s="30" t="s">
        <v>206</v>
      </c>
      <c r="AE8" s="30" t="s">
        <v>207</v>
      </c>
    </row>
    <row r="9" customFormat="false" ht="15" hidden="false" customHeight="false" outlineLevel="0" collapsed="false">
      <c r="A9" s="30" t="s">
        <v>208</v>
      </c>
      <c r="B9" s="30" t="s">
        <v>209</v>
      </c>
      <c r="M9" s="30" t="s">
        <v>134</v>
      </c>
      <c r="N9" s="30" t="s">
        <v>210</v>
      </c>
      <c r="V9" s="30" t="s">
        <v>211</v>
      </c>
      <c r="Y9" s="30" t="s">
        <v>32</v>
      </c>
      <c r="Z9" s="30" t="s">
        <v>212</v>
      </c>
      <c r="AE9" s="30" t="s">
        <v>213</v>
      </c>
    </row>
    <row r="10" customFormat="false" ht="15" hidden="false" customHeight="false" outlineLevel="0" collapsed="false">
      <c r="A10" s="30" t="s">
        <v>214</v>
      </c>
      <c r="B10" s="30" t="s">
        <v>215</v>
      </c>
      <c r="M10" s="30" t="s">
        <v>135</v>
      </c>
      <c r="N10" s="30" t="s">
        <v>216</v>
      </c>
    </row>
    <row r="11" customFormat="false" ht="15" hidden="false" customHeight="false" outlineLevel="0" collapsed="false">
      <c r="M11" s="30" t="s">
        <v>136</v>
      </c>
      <c r="N11" s="30" t="s">
        <v>217</v>
      </c>
    </row>
    <row r="12" customFormat="false" ht="15" hidden="false" customHeight="false" outlineLevel="0" collapsed="false">
      <c r="M12" s="30" t="s">
        <v>137</v>
      </c>
      <c r="N12" s="30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H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5" min="13" style="0" width="11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5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3" min="21" style="0" width="34"/>
    <col collapsed="false" customWidth="true" hidden="false" outlineLevel="0" max="24" min="24" style="0" width="10"/>
    <col collapsed="false" customWidth="true" hidden="false" outlineLevel="0" max="25" min="25" style="0" width="9"/>
    <col collapsed="false" customWidth="true" hidden="false" outlineLevel="0" max="27" min="26" style="0" width="10"/>
    <col collapsed="false" customWidth="true" hidden="false" outlineLevel="0" max="28" min="28" style="0" width="34"/>
    <col collapsed="false" customWidth="true" hidden="false" outlineLevel="0" max="29" min="29" style="0" width="24"/>
    <col collapsed="false" customWidth="true" hidden="false" outlineLevel="0" max="31" min="30" style="0" width="10"/>
    <col collapsed="false" customWidth="true" hidden="false" outlineLevel="0" max="33" min="32" style="0" width="11"/>
    <col collapsed="false" customWidth="true" hidden="false" outlineLevel="0" max="34" min="34" style="0" width="30"/>
  </cols>
  <sheetData>
    <row r="1" customFormat="false" ht="17.35" hidden="false" customHeight="false" outlineLevel="0" collapsed="false">
      <c r="A1" s="5" t="s">
        <v>219</v>
      </c>
    </row>
    <row r="2" customFormat="false" ht="15" hidden="false" customHeight="false" outlineLevel="0" collapsed="false">
      <c r="A2" s="6" t="s">
        <v>220</v>
      </c>
    </row>
    <row r="3" customFormat="false" ht="15" hidden="false" customHeight="false" outlineLevel="0" collapsed="false">
      <c r="A3" s="6" t="s">
        <v>221</v>
      </c>
    </row>
    <row r="4" customFormat="false" ht="42" hidden="false" customHeight="true" outlineLevel="0" collapsed="false">
      <c r="A4" s="17" t="s">
        <v>77</v>
      </c>
      <c r="B4" s="17" t="s">
        <v>78</v>
      </c>
      <c r="C4" s="16" t="s">
        <v>58</v>
      </c>
      <c r="D4" s="16" t="s">
        <v>222</v>
      </c>
      <c r="E4" s="16" t="s">
        <v>223</v>
      </c>
      <c r="F4" s="16" t="s">
        <v>224</v>
      </c>
      <c r="G4" s="16" t="s">
        <v>225</v>
      </c>
      <c r="H4" s="16" t="s">
        <v>66</v>
      </c>
      <c r="I4" s="16" t="s">
        <v>153</v>
      </c>
      <c r="J4" s="16" t="s">
        <v>226</v>
      </c>
      <c r="K4" s="16" t="s">
        <v>227</v>
      </c>
      <c r="L4" s="16" t="s">
        <v>228</v>
      </c>
      <c r="M4" s="16" t="s">
        <v>229</v>
      </c>
      <c r="N4" s="16" t="s">
        <v>230</v>
      </c>
      <c r="O4" s="16" t="s">
        <v>231</v>
      </c>
      <c r="P4" s="16" t="s">
        <v>232</v>
      </c>
      <c r="Q4" s="16" t="s">
        <v>233</v>
      </c>
      <c r="R4" s="16" t="s">
        <v>79</v>
      </c>
      <c r="S4" s="16" t="s">
        <v>100</v>
      </c>
      <c r="T4" s="16" t="s">
        <v>80</v>
      </c>
      <c r="U4" s="16" t="s">
        <v>234</v>
      </c>
      <c r="V4" s="16" t="s">
        <v>235</v>
      </c>
      <c r="W4" s="16" t="s">
        <v>236</v>
      </c>
      <c r="X4" s="18" t="s">
        <v>86</v>
      </c>
      <c r="Y4" s="18" t="s">
        <v>87</v>
      </c>
      <c r="Z4" s="18" t="s">
        <v>237</v>
      </c>
      <c r="AA4" s="18" t="s">
        <v>238</v>
      </c>
      <c r="AB4" s="16" t="s">
        <v>239</v>
      </c>
      <c r="AC4" s="16" t="s">
        <v>240</v>
      </c>
      <c r="AD4" s="16" t="s">
        <v>241</v>
      </c>
      <c r="AE4" s="16" t="s">
        <v>242</v>
      </c>
      <c r="AF4" s="16" t="s">
        <v>243</v>
      </c>
      <c r="AG4" s="16" t="s">
        <v>244</v>
      </c>
      <c r="AH4" s="17" t="s">
        <v>245</v>
      </c>
    </row>
    <row r="5" customFormat="false" ht="15" hidden="false" customHeight="false" outlineLevel="0" collapsed="false">
      <c r="A5" s="10" t="str">
        <f aca="false">IF(C5="","","DRN-"&amp;IFERROR(VLOOKUP(C5,Lists!$A$4:$B$21,2,0),"??")&amp;"-"&amp;TEXT(D5,"0000")&amp;"x"&amp;TEXT(E5,"0000")&amp;"-"&amp;IFERROR(VLOOKUP(H5,Lists!$D$4:$E$18,2,0),"??")&amp;"-"&amp;R5)</f>
        <v>DRN-UD-0300x0450-PED-A</v>
      </c>
      <c r="B5" s="10" t="str">
        <f aca="false">IF(C5="","",C5&amp;" "&amp;D5&amp;"W x "&amp;E5&amp;"D, "&amp;H5&amp;", "&amp;I5)</f>
        <v>U-Drain 300W x 450D, Pedestrian, Cast-in-situ</v>
      </c>
      <c r="C5" s="19" t="s">
        <v>59</v>
      </c>
      <c r="D5" s="31" t="n">
        <v>300</v>
      </c>
      <c r="E5" s="31" t="n">
        <v>450</v>
      </c>
      <c r="F5" s="31" t="n">
        <v>125</v>
      </c>
      <c r="G5" s="31" t="n">
        <v>125</v>
      </c>
      <c r="H5" s="19" t="s">
        <v>140</v>
      </c>
      <c r="I5" s="19" t="s">
        <v>162</v>
      </c>
      <c r="J5" s="19" t="s">
        <v>185</v>
      </c>
      <c r="K5" s="19" t="s">
        <v>200</v>
      </c>
      <c r="L5" s="31" t="n">
        <v>40</v>
      </c>
      <c r="M5" s="19" t="s">
        <v>246</v>
      </c>
      <c r="N5" s="19" t="s">
        <v>246</v>
      </c>
      <c r="O5" s="19" t="s">
        <v>247</v>
      </c>
      <c r="P5" s="19" t="s">
        <v>248</v>
      </c>
      <c r="Q5" s="19" t="s">
        <v>249</v>
      </c>
      <c r="R5" s="19" t="s">
        <v>250</v>
      </c>
      <c r="S5" s="19" t="s">
        <v>148</v>
      </c>
      <c r="T5" s="19" t="s">
        <v>251</v>
      </c>
      <c r="U5" s="19" t="s">
        <v>252</v>
      </c>
      <c r="V5" s="19" t="s">
        <v>253</v>
      </c>
      <c r="W5" s="19" t="s">
        <v>254</v>
      </c>
      <c r="X5" s="32" t="n">
        <v>0.2</v>
      </c>
      <c r="Y5" s="33" t="n">
        <v>18</v>
      </c>
      <c r="Z5" s="34" t="n">
        <v>2.2</v>
      </c>
      <c r="AA5" s="34" t="n">
        <v>0.95</v>
      </c>
      <c r="AB5" s="19" t="s">
        <v>255</v>
      </c>
      <c r="AC5" s="19"/>
      <c r="AD5" s="19" t="s">
        <v>256</v>
      </c>
      <c r="AE5" s="19" t="s">
        <v>256</v>
      </c>
      <c r="AF5" s="19" t="s">
        <v>256</v>
      </c>
      <c r="AG5" s="35" t="n">
        <v>46309</v>
      </c>
      <c r="AH5" s="10" t="str">
        <f aca="false">IF(C5="","",C5&amp;"|"&amp;D5&amp;"|"&amp;E5&amp;"|"&amp;H5&amp;"|"&amp;S5)</f>
        <v>U-Drain|300|450|Pedestrian|Approved</v>
      </c>
    </row>
    <row r="6" customFormat="false" ht="15" hidden="false" customHeight="false" outlineLevel="0" collapsed="false">
      <c r="A6" s="10" t="str">
        <f aca="false">IF(C6="","","DRN-"&amp;IFERROR(VLOOKUP(C6,Lists!$A$4:$B$21,2,0),"??")&amp;"-"&amp;TEXT(D6,"0000")&amp;"x"&amp;TEXT(E6,"0000")&amp;"-"&amp;IFERROR(VLOOKUP(H6,Lists!$D$4:$E$18,2,0),"??")&amp;"-"&amp;R6)</f>
        <v>DRN-UD-0600x0600-PED-A</v>
      </c>
      <c r="B6" s="10" t="str">
        <f aca="false">IF(C6="","",C6&amp;" "&amp;D6&amp;"W x "&amp;E6&amp;"D, "&amp;H6&amp;", "&amp;I6)</f>
        <v>U-Drain 600W x 600D, Pedestrian, Cast-in-situ</v>
      </c>
      <c r="C6" s="19" t="s">
        <v>59</v>
      </c>
      <c r="D6" s="31" t="n">
        <v>600</v>
      </c>
      <c r="E6" s="31" t="n">
        <v>600</v>
      </c>
      <c r="F6" s="31" t="n">
        <v>150</v>
      </c>
      <c r="G6" s="31" t="n">
        <v>150</v>
      </c>
      <c r="H6" s="19" t="s">
        <v>140</v>
      </c>
      <c r="I6" s="19" t="s">
        <v>162</v>
      </c>
      <c r="J6" s="19" t="s">
        <v>175</v>
      </c>
      <c r="K6" s="19" t="s">
        <v>200</v>
      </c>
      <c r="L6" s="31" t="n">
        <v>40</v>
      </c>
      <c r="M6" s="19" t="s">
        <v>257</v>
      </c>
      <c r="N6" s="19" t="s">
        <v>257</v>
      </c>
      <c r="O6" s="19" t="s">
        <v>246</v>
      </c>
      <c r="P6" s="19" t="s">
        <v>248</v>
      </c>
      <c r="Q6" s="19" t="s">
        <v>249</v>
      </c>
      <c r="R6" s="19" t="s">
        <v>250</v>
      </c>
      <c r="S6" s="19" t="s">
        <v>148</v>
      </c>
      <c r="T6" s="19" t="s">
        <v>258</v>
      </c>
      <c r="U6" s="19" t="s">
        <v>259</v>
      </c>
      <c r="V6" s="19" t="s">
        <v>260</v>
      </c>
      <c r="W6" s="19" t="s">
        <v>261</v>
      </c>
      <c r="X6" s="32" t="n">
        <v>0.315</v>
      </c>
      <c r="Y6" s="33" t="n">
        <v>30</v>
      </c>
      <c r="Z6" s="34" t="n">
        <v>2.85</v>
      </c>
      <c r="AA6" s="34" t="n">
        <v>1.6</v>
      </c>
      <c r="AB6" s="19" t="s">
        <v>262</v>
      </c>
      <c r="AC6" s="19"/>
      <c r="AD6" s="19" t="s">
        <v>256</v>
      </c>
      <c r="AE6" s="19" t="s">
        <v>256</v>
      </c>
      <c r="AF6" s="19" t="s">
        <v>256</v>
      </c>
      <c r="AG6" s="35" t="n">
        <v>46309</v>
      </c>
      <c r="AH6" s="10" t="str">
        <f aca="false">IF(C6="","",C6&amp;"|"&amp;D6&amp;"|"&amp;E6&amp;"|"&amp;H6&amp;"|"&amp;S6)</f>
        <v>U-Drain|600|600|Pedestrian|Approved</v>
      </c>
    </row>
    <row r="7" customFormat="false" ht="15" hidden="false" customHeight="false" outlineLevel="0" collapsed="false">
      <c r="A7" s="10" t="str">
        <f aca="false">IF(C7="","","DRN-"&amp;IFERROR(VLOOKUP(C7,Lists!$A$4:$B$21,2,0),"??")&amp;"-"&amp;TEXT(D7,"0000")&amp;"x"&amp;TEXT(E7,"0000")&amp;"-"&amp;IFERROR(VLOOKUP(H7,Lists!$D$4:$E$18,2,0),"??")&amp;"-"&amp;R7)</f>
        <v>DRN-UD-0600x0900-VEH-B</v>
      </c>
      <c r="B7" s="10" t="str">
        <f aca="false">IF(C7="","",C7&amp;" "&amp;D7&amp;"W x "&amp;E7&amp;"D, "&amp;H7&amp;", "&amp;I7)</f>
        <v>U-Drain 600W x 900D, Vehicular (LM1), Cast-in-situ</v>
      </c>
      <c r="C7" s="19" t="s">
        <v>59</v>
      </c>
      <c r="D7" s="31" t="n">
        <v>600</v>
      </c>
      <c r="E7" s="31" t="n">
        <v>900</v>
      </c>
      <c r="F7" s="31" t="n">
        <v>150</v>
      </c>
      <c r="G7" s="31" t="n">
        <v>150</v>
      </c>
      <c r="H7" s="19" t="s">
        <v>67</v>
      </c>
      <c r="I7" s="19" t="s">
        <v>162</v>
      </c>
      <c r="J7" s="19" t="s">
        <v>203</v>
      </c>
      <c r="K7" s="19" t="s">
        <v>200</v>
      </c>
      <c r="L7" s="31" t="n">
        <v>40</v>
      </c>
      <c r="M7" s="19" t="s">
        <v>263</v>
      </c>
      <c r="N7" s="19" t="s">
        <v>263</v>
      </c>
      <c r="O7" s="19" t="s">
        <v>246</v>
      </c>
      <c r="P7" s="19" t="s">
        <v>264</v>
      </c>
      <c r="Q7" s="19" t="s">
        <v>249</v>
      </c>
      <c r="R7" s="19" t="s">
        <v>265</v>
      </c>
      <c r="S7" s="19" t="s">
        <v>148</v>
      </c>
      <c r="T7" s="19" t="s">
        <v>266</v>
      </c>
      <c r="U7" s="19" t="s">
        <v>267</v>
      </c>
      <c r="V7" s="19" t="s">
        <v>268</v>
      </c>
      <c r="W7" s="19" t="s">
        <v>269</v>
      </c>
      <c r="X7" s="32" t="n">
        <v>0.405</v>
      </c>
      <c r="Y7" s="33" t="n">
        <v>48</v>
      </c>
      <c r="Z7" s="34" t="n">
        <v>3.75</v>
      </c>
      <c r="AA7" s="34" t="n">
        <v>2.1</v>
      </c>
      <c r="AB7" s="19" t="s">
        <v>270</v>
      </c>
      <c r="AC7" s="19" t="s">
        <v>271</v>
      </c>
      <c r="AD7" s="19" t="s">
        <v>256</v>
      </c>
      <c r="AE7" s="19" t="s">
        <v>256</v>
      </c>
      <c r="AF7" s="19" t="s">
        <v>256</v>
      </c>
      <c r="AG7" s="35" t="n">
        <v>46309</v>
      </c>
      <c r="AH7" s="10" t="str">
        <f aca="false">IF(C7="","",C7&amp;"|"&amp;D7&amp;"|"&amp;E7&amp;"|"&amp;H7&amp;"|"&amp;S7)</f>
        <v>U-Drain|600|900|Vehicular (LM1)|Approved</v>
      </c>
    </row>
    <row r="8" customFormat="false" ht="15" hidden="false" customHeight="false" outlineLevel="0" collapsed="false">
      <c r="A8" s="10" t="str">
        <f aca="false">IF(C8="","","DRN-"&amp;IFERROR(VLOOKUP(C8,Lists!$A$4:$B$21,2,0),"??")&amp;"-"&amp;TEXT(D8,"0000")&amp;"x"&amp;TEXT(E8,"0000")&amp;"-"&amp;IFERROR(VLOOKUP(H8,Lists!$D$4:$E$18,2,0),"??")&amp;"-"&amp;R8)</f>
        <v>DRN-UD-0600x0900-VEH-A</v>
      </c>
      <c r="B8" s="10" t="str">
        <f aca="false">IF(C8="","",C8&amp;" "&amp;D8&amp;"W x "&amp;E8&amp;"D, "&amp;H8&amp;", "&amp;I8)</f>
        <v>U-Drain 600W x 900D, Vehicular (LM1), Cast-in-situ</v>
      </c>
      <c r="C8" s="19" t="s">
        <v>59</v>
      </c>
      <c r="D8" s="31" t="n">
        <v>600</v>
      </c>
      <c r="E8" s="31" t="n">
        <v>900</v>
      </c>
      <c r="F8" s="31" t="n">
        <v>150</v>
      </c>
      <c r="G8" s="31" t="n">
        <v>150</v>
      </c>
      <c r="H8" s="19" t="s">
        <v>67</v>
      </c>
      <c r="I8" s="19" t="s">
        <v>162</v>
      </c>
      <c r="J8" s="19" t="s">
        <v>203</v>
      </c>
      <c r="K8" s="19" t="s">
        <v>200</v>
      </c>
      <c r="L8" s="31" t="n">
        <v>40</v>
      </c>
      <c r="M8" s="19" t="s">
        <v>272</v>
      </c>
      <c r="N8" s="19" t="s">
        <v>272</v>
      </c>
      <c r="O8" s="19" t="s">
        <v>246</v>
      </c>
      <c r="P8" s="19" t="s">
        <v>264</v>
      </c>
      <c r="Q8" s="19" t="s">
        <v>249</v>
      </c>
      <c r="R8" s="19" t="s">
        <v>250</v>
      </c>
      <c r="S8" s="19" t="s">
        <v>149</v>
      </c>
      <c r="T8" s="19" t="s">
        <v>266</v>
      </c>
      <c r="U8" s="19" t="s">
        <v>273</v>
      </c>
      <c r="V8" s="19" t="s">
        <v>274</v>
      </c>
      <c r="W8" s="19" t="s">
        <v>275</v>
      </c>
      <c r="X8" s="32" t="n">
        <v>0.405</v>
      </c>
      <c r="Y8" s="33" t="n">
        <v>42</v>
      </c>
      <c r="Z8" s="34" t="n">
        <v>3.75</v>
      </c>
      <c r="AA8" s="34" t="n">
        <v>2.1</v>
      </c>
      <c r="AB8" s="19" t="s">
        <v>276</v>
      </c>
      <c r="AC8" s="19"/>
      <c r="AD8" s="19" t="s">
        <v>256</v>
      </c>
      <c r="AE8" s="19" t="s">
        <v>256</v>
      </c>
      <c r="AF8" s="19" t="s">
        <v>256</v>
      </c>
      <c r="AG8" s="35" t="n">
        <v>46309</v>
      </c>
      <c r="AH8" s="10" t="str">
        <f aca="false">IF(C8="","",C8&amp;"|"&amp;D8&amp;"|"&amp;E8&amp;"|"&amp;H8&amp;"|"&amp;S8)</f>
        <v>U-Drain|600|900|Vehicular (LM1)|Superseded</v>
      </c>
    </row>
    <row r="9" customFormat="false" ht="15" hidden="false" customHeight="false" outlineLevel="0" collapsed="false">
      <c r="A9" s="10" t="str">
        <f aca="false">IF(C9="","","DRN-"&amp;IFERROR(VLOOKUP(C9,Lists!$A$4:$B$21,2,0),"??")&amp;"-"&amp;TEXT(D9,"0000")&amp;"x"&amp;TEXT(E9,"0000")&amp;"-"&amp;IFERROR(VLOOKUP(H9,Lists!$D$4:$E$18,2,0),"??")&amp;"-"&amp;R9)</f>
        <v>DRN-UD-0900x1200-VEH-A</v>
      </c>
      <c r="B9" s="10" t="str">
        <f aca="false">IF(C9="","",C9&amp;" "&amp;D9&amp;"W x "&amp;E9&amp;"D, "&amp;H9&amp;", "&amp;I9)</f>
        <v>U-Drain 900W x 1200D, Vehicular (LM1), Cast-in-situ</v>
      </c>
      <c r="C9" s="19" t="s">
        <v>59</v>
      </c>
      <c r="D9" s="31" t="n">
        <v>900</v>
      </c>
      <c r="E9" s="31" t="n">
        <v>1200</v>
      </c>
      <c r="F9" s="31" t="n">
        <v>200</v>
      </c>
      <c r="G9" s="31" t="n">
        <v>200</v>
      </c>
      <c r="H9" s="19" t="s">
        <v>67</v>
      </c>
      <c r="I9" s="19" t="s">
        <v>162</v>
      </c>
      <c r="J9" s="19" t="s">
        <v>175</v>
      </c>
      <c r="K9" s="19" t="s">
        <v>200</v>
      </c>
      <c r="L9" s="31" t="n">
        <v>40</v>
      </c>
      <c r="M9" s="19" t="s">
        <v>277</v>
      </c>
      <c r="N9" s="19" t="s">
        <v>277</v>
      </c>
      <c r="O9" s="19" t="s">
        <v>272</v>
      </c>
      <c r="P9" s="19" t="s">
        <v>278</v>
      </c>
      <c r="Q9" s="19" t="s">
        <v>249</v>
      </c>
      <c r="R9" s="19" t="s">
        <v>250</v>
      </c>
      <c r="S9" s="19" t="s">
        <v>148</v>
      </c>
      <c r="T9" s="19" t="s">
        <v>279</v>
      </c>
      <c r="U9" s="19" t="s">
        <v>280</v>
      </c>
      <c r="V9" s="19" t="s">
        <v>281</v>
      </c>
      <c r="W9" s="19" t="s">
        <v>282</v>
      </c>
      <c r="X9" s="32" t="n">
        <v>0.86</v>
      </c>
      <c r="Y9" s="33" t="n">
        <v>95</v>
      </c>
      <c r="Z9" s="34" t="n">
        <v>5.2</v>
      </c>
      <c r="AA9" s="34" t="n">
        <v>3.4</v>
      </c>
      <c r="AB9" s="19" t="s">
        <v>262</v>
      </c>
      <c r="AC9" s="19"/>
      <c r="AD9" s="19" t="s">
        <v>256</v>
      </c>
      <c r="AE9" s="19" t="s">
        <v>256</v>
      </c>
      <c r="AF9" s="19" t="s">
        <v>256</v>
      </c>
      <c r="AG9" s="35" t="n">
        <v>46309</v>
      </c>
      <c r="AH9" s="10" t="str">
        <f aca="false">IF(C9="","",C9&amp;"|"&amp;D9&amp;"|"&amp;E9&amp;"|"&amp;H9&amp;"|"&amp;S9)</f>
        <v>U-Drain|900|1200|Vehicular (LM1)|Approved</v>
      </c>
    </row>
    <row r="10" customFormat="false" ht="15" hidden="false" customHeight="false" outlineLevel="0" collapsed="false">
      <c r="A10" s="10" t="str">
        <f aca="false">IF(C10="","","DRN-"&amp;IFERROR(VLOOKUP(C10,Lists!$A$4:$B$21,2,0),"??")&amp;"-"&amp;TEXT(D10,"0000")&amp;"x"&amp;TEXT(E10,"0000")&amp;"-"&amp;IFERROR(VLOOKUP(H10,Lists!$D$4:$E$18,2,0),"??")&amp;"-"&amp;R10)</f>
        <v>DRN-UD-1200x1500-HVY-A</v>
      </c>
      <c r="B10" s="10" t="str">
        <f aca="false">IF(C10="","",C10&amp;" "&amp;D10&amp;"W x "&amp;E10&amp;"D, "&amp;H10&amp;", "&amp;I10)</f>
        <v>U-Drain 1200W x 1500D, Heavy Vehicle / Fire Engine, Cast-in-situ</v>
      </c>
      <c r="C10" s="19" t="s">
        <v>59</v>
      </c>
      <c r="D10" s="31" t="n">
        <v>1200</v>
      </c>
      <c r="E10" s="31" t="n">
        <v>1500</v>
      </c>
      <c r="F10" s="31" t="n">
        <v>250</v>
      </c>
      <c r="G10" s="31" t="n">
        <v>250</v>
      </c>
      <c r="H10" s="19" t="s">
        <v>141</v>
      </c>
      <c r="I10" s="19" t="s">
        <v>162</v>
      </c>
      <c r="J10" s="19" t="s">
        <v>175</v>
      </c>
      <c r="K10" s="19" t="s">
        <v>200</v>
      </c>
      <c r="L10" s="31" t="n">
        <v>40</v>
      </c>
      <c r="M10" s="19" t="s">
        <v>283</v>
      </c>
      <c r="N10" s="19" t="s">
        <v>283</v>
      </c>
      <c r="O10" s="19" t="s">
        <v>263</v>
      </c>
      <c r="P10" s="19" t="s">
        <v>284</v>
      </c>
      <c r="Q10" s="19" t="s">
        <v>249</v>
      </c>
      <c r="R10" s="19" t="s">
        <v>250</v>
      </c>
      <c r="S10" s="19" t="s">
        <v>147</v>
      </c>
      <c r="T10" s="19" t="s">
        <v>285</v>
      </c>
      <c r="U10" s="19" t="s">
        <v>286</v>
      </c>
      <c r="V10" s="19" t="s">
        <v>287</v>
      </c>
      <c r="W10" s="19" t="s">
        <v>288</v>
      </c>
      <c r="X10" s="32" t="n">
        <v>1.475</v>
      </c>
      <c r="Y10" s="33" t="n">
        <v>165</v>
      </c>
      <c r="Z10" s="34" t="n">
        <v>6.5</v>
      </c>
      <c r="AA10" s="34" t="n">
        <v>5.1</v>
      </c>
      <c r="AB10" s="19" t="s">
        <v>289</v>
      </c>
      <c r="AC10" s="19"/>
      <c r="AD10" s="19" t="s">
        <v>256</v>
      </c>
      <c r="AE10" s="19" t="s">
        <v>256</v>
      </c>
      <c r="AF10" s="19" t="s">
        <v>256</v>
      </c>
      <c r="AG10" s="35" t="n">
        <v>46309</v>
      </c>
      <c r="AH10" s="10" t="str">
        <f aca="false">IF(C10="","",C10&amp;"|"&amp;D10&amp;"|"&amp;E10&amp;"|"&amp;H10&amp;"|"&amp;S10)</f>
        <v>U-Drain|1200|1500|Heavy Vehicle / Fire Engine|Checked</v>
      </c>
    </row>
    <row r="11" customFormat="false" ht="15" hidden="false" customHeight="false" outlineLevel="0" collapsed="false">
      <c r="A11" s="10" t="str">
        <f aca="false">IF(C11="","","DRN-"&amp;IFERROR(VLOOKUP(C11,Lists!$A$4:$B$21,2,0),"??")&amp;"-"&amp;TEXT(D11,"0000")&amp;"x"&amp;TEXT(E11,"0000")&amp;"-"&amp;IFERROR(VLOOKUP(H11,Lists!$D$4:$E$18,2,0),"??")&amp;"-"&amp;R11)</f>
        <v>DRN-BC-1500x1500-VEH-A</v>
      </c>
      <c r="B11" s="10" t="str">
        <f aca="false">IF(C11="","",C11&amp;" "&amp;D11&amp;"W x "&amp;E11&amp;"D, "&amp;H11&amp;", "&amp;I11)</f>
        <v>Box Culvert 1500W x 1500D, Vehicular (LM1), Precast</v>
      </c>
      <c r="C11" s="19" t="s">
        <v>171</v>
      </c>
      <c r="D11" s="31" t="n">
        <v>1500</v>
      </c>
      <c r="E11" s="31" t="n">
        <v>1500</v>
      </c>
      <c r="F11" s="31" t="n">
        <v>250</v>
      </c>
      <c r="G11" s="31" t="n">
        <v>250</v>
      </c>
      <c r="H11" s="19" t="s">
        <v>67</v>
      </c>
      <c r="I11" s="19" t="s">
        <v>174</v>
      </c>
      <c r="J11" s="19" t="s">
        <v>163</v>
      </c>
      <c r="K11" s="19" t="s">
        <v>200</v>
      </c>
      <c r="L11" s="31" t="n">
        <v>40</v>
      </c>
      <c r="M11" s="19" t="s">
        <v>277</v>
      </c>
      <c r="N11" s="19" t="s">
        <v>277</v>
      </c>
      <c r="O11" s="19" t="s">
        <v>272</v>
      </c>
      <c r="P11" s="19" t="s">
        <v>290</v>
      </c>
      <c r="Q11" s="19" t="s">
        <v>249</v>
      </c>
      <c r="R11" s="19" t="s">
        <v>250</v>
      </c>
      <c r="S11" s="19" t="s">
        <v>148</v>
      </c>
      <c r="T11" s="19" t="s">
        <v>291</v>
      </c>
      <c r="U11" s="19" t="s">
        <v>292</v>
      </c>
      <c r="V11" s="19" t="s">
        <v>293</v>
      </c>
      <c r="W11" s="19" t="s">
        <v>294</v>
      </c>
      <c r="X11" s="32" t="n">
        <v>1.75</v>
      </c>
      <c r="Y11" s="33" t="n">
        <v>180</v>
      </c>
      <c r="Z11" s="34" t="n">
        <v>0</v>
      </c>
      <c r="AA11" s="34" t="n">
        <v>7.2</v>
      </c>
      <c r="AB11" s="19" t="s">
        <v>295</v>
      </c>
      <c r="AC11" s="19"/>
      <c r="AD11" s="19" t="s">
        <v>256</v>
      </c>
      <c r="AE11" s="19" t="s">
        <v>256</v>
      </c>
      <c r="AF11" s="19" t="s">
        <v>256</v>
      </c>
      <c r="AG11" s="35" t="n">
        <v>46309</v>
      </c>
      <c r="AH11" s="10" t="str">
        <f aca="false">IF(C11="","",C11&amp;"|"&amp;D11&amp;"|"&amp;E11&amp;"|"&amp;H11&amp;"|"&amp;S11)</f>
        <v>Box Culvert|1500|1500|Vehicular (LM1)|Approved</v>
      </c>
    </row>
    <row r="12" customFormat="false" ht="15" hidden="false" customHeight="false" outlineLevel="0" collapsed="false">
      <c r="A12" s="10" t="str">
        <f aca="false">IF(C12="","","DRN-"&amp;IFERROR(VLOOKUP(C12,Lists!$A$4:$B$21,2,0),"??")&amp;"-"&amp;TEXT(D12,"0000")&amp;"x"&amp;TEXT(E12,"0000")&amp;"-"&amp;IFERROR(VLOOKUP(H12,Lists!$D$4:$E$18,2,0),"??")&amp;"-"&amp;R12)</f>
        <v>DRN-SP-0900x1200-PED-A</v>
      </c>
      <c r="B12" s="10" t="str">
        <f aca="false">IF(C12="","",C12&amp;" "&amp;D12&amp;"W x "&amp;E12&amp;"D, "&amp;H12&amp;", "&amp;I12)</f>
        <v>Sump 900W x 1200D, Pedestrian, Cast-in-situ</v>
      </c>
      <c r="C12" s="19" t="s">
        <v>182</v>
      </c>
      <c r="D12" s="31" t="n">
        <v>900</v>
      </c>
      <c r="E12" s="31" t="n">
        <v>1200</v>
      </c>
      <c r="F12" s="31" t="n">
        <v>200</v>
      </c>
      <c r="G12" s="31" t="n">
        <v>200</v>
      </c>
      <c r="H12" s="19" t="s">
        <v>140</v>
      </c>
      <c r="I12" s="19" t="s">
        <v>162</v>
      </c>
      <c r="J12" s="19" t="s">
        <v>185</v>
      </c>
      <c r="K12" s="19" t="s">
        <v>200</v>
      </c>
      <c r="L12" s="31" t="n">
        <v>40</v>
      </c>
      <c r="M12" s="19" t="s">
        <v>263</v>
      </c>
      <c r="N12" s="19" t="s">
        <v>263</v>
      </c>
      <c r="O12" s="19" t="s">
        <v>246</v>
      </c>
      <c r="P12" s="19" t="s">
        <v>296</v>
      </c>
      <c r="Q12" s="19" t="s">
        <v>249</v>
      </c>
      <c r="R12" s="19" t="s">
        <v>250</v>
      </c>
      <c r="S12" s="19" t="s">
        <v>148</v>
      </c>
      <c r="T12" s="19" t="s">
        <v>297</v>
      </c>
      <c r="U12" s="19" t="s">
        <v>298</v>
      </c>
      <c r="V12" s="19" t="s">
        <v>299</v>
      </c>
      <c r="W12" s="19" t="s">
        <v>300</v>
      </c>
      <c r="X12" s="32" t="n">
        <v>1.25</v>
      </c>
      <c r="Y12" s="33" t="n">
        <v>110</v>
      </c>
      <c r="Z12" s="34" t="n">
        <v>9.8</v>
      </c>
      <c r="AA12" s="34" t="n">
        <v>3.2</v>
      </c>
      <c r="AB12" s="19" t="s">
        <v>301</v>
      </c>
      <c r="AC12" s="19"/>
      <c r="AD12" s="19" t="s">
        <v>256</v>
      </c>
      <c r="AE12" s="19" t="s">
        <v>256</v>
      </c>
      <c r="AF12" s="19" t="s">
        <v>256</v>
      </c>
      <c r="AG12" s="35" t="n">
        <v>46309</v>
      </c>
      <c r="AH12" s="10" t="str">
        <f aca="false">IF(C12="","",C12&amp;"|"&amp;D12&amp;"|"&amp;E12&amp;"|"&amp;H12&amp;"|"&amp;S12)</f>
        <v>Sump|900|1200|Pedestrian|Approved</v>
      </c>
    </row>
    <row r="13" customFormat="false" ht="15" hidden="false" customHeight="false" outlineLevel="0" collapsed="false">
      <c r="A13" s="10" t="str">
        <f aca="false">IF(C13="","","DRN-"&amp;IFERROR(VLOOKUP(C13,Lists!$A$4:$B$21,2,0),"??")&amp;"-"&amp;TEXT(D13,"0000")&amp;"x"&amp;TEXT(E13,"0000")&amp;"-"&amp;IFERROR(VLOOKUP(H13,Lists!$D$4:$E$18,2,0),"??")&amp;"-"&amp;R13)</f>
        <v/>
      </c>
      <c r="B13" s="10" t="str">
        <f aca="false">IF(C13="","",C13&amp;" "&amp;D13&amp;"W x "&amp;E13&amp;"D, "&amp;H13&amp;", "&amp;I13)</f>
        <v/>
      </c>
      <c r="C13" s="9"/>
      <c r="D13" s="36"/>
      <c r="E13" s="36"/>
      <c r="F13" s="36"/>
      <c r="G13" s="36"/>
      <c r="H13" s="9"/>
      <c r="I13" s="9"/>
      <c r="J13" s="9"/>
      <c r="K13" s="9"/>
      <c r="L13" s="3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37"/>
      <c r="Y13" s="38"/>
      <c r="Z13" s="39"/>
      <c r="AA13" s="39"/>
      <c r="AB13" s="9"/>
      <c r="AC13" s="9"/>
      <c r="AD13" s="9"/>
      <c r="AE13" s="9"/>
      <c r="AF13" s="9"/>
      <c r="AG13" s="40"/>
      <c r="AH13" s="10" t="str">
        <f aca="false">IF(C13="","",C13&amp;"|"&amp;D13&amp;"|"&amp;E13&amp;"|"&amp;H13&amp;"|"&amp;S13)</f>
        <v/>
      </c>
    </row>
    <row r="14" customFormat="false" ht="15" hidden="false" customHeight="false" outlineLevel="0" collapsed="false">
      <c r="A14" s="10" t="str">
        <f aca="false">IF(C14="","","DRN-"&amp;IFERROR(VLOOKUP(C14,Lists!$A$4:$B$21,2,0),"??")&amp;"-"&amp;TEXT(D14,"0000")&amp;"x"&amp;TEXT(E14,"0000")&amp;"-"&amp;IFERROR(VLOOKUP(H14,Lists!$D$4:$E$18,2,0),"??")&amp;"-"&amp;R14)</f>
        <v/>
      </c>
      <c r="B14" s="10" t="str">
        <f aca="false">IF(C14="","",C14&amp;" "&amp;D14&amp;"W x "&amp;E14&amp;"D, "&amp;H14&amp;", "&amp;I14)</f>
        <v/>
      </c>
      <c r="C14" s="9"/>
      <c r="D14" s="36"/>
      <c r="E14" s="36"/>
      <c r="F14" s="36"/>
      <c r="G14" s="36"/>
      <c r="H14" s="9"/>
      <c r="I14" s="9"/>
      <c r="J14" s="9"/>
      <c r="K14" s="9"/>
      <c r="L14" s="3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37"/>
      <c r="Y14" s="38"/>
      <c r="Z14" s="39"/>
      <c r="AA14" s="39"/>
      <c r="AB14" s="9"/>
      <c r="AC14" s="9"/>
      <c r="AD14" s="9"/>
      <c r="AE14" s="9"/>
      <c r="AF14" s="9"/>
      <c r="AG14" s="40"/>
      <c r="AH14" s="10" t="str">
        <f aca="false">IF(C14="","",C14&amp;"|"&amp;D14&amp;"|"&amp;E14&amp;"|"&amp;H14&amp;"|"&amp;S14)</f>
        <v/>
      </c>
    </row>
    <row r="15" customFormat="false" ht="15" hidden="false" customHeight="false" outlineLevel="0" collapsed="false">
      <c r="A15" s="10" t="str">
        <f aca="false">IF(C15="","","DRN-"&amp;IFERROR(VLOOKUP(C15,Lists!$A$4:$B$21,2,0),"??")&amp;"-"&amp;TEXT(D15,"0000")&amp;"x"&amp;TEXT(E15,"0000")&amp;"-"&amp;IFERROR(VLOOKUP(H15,Lists!$D$4:$E$18,2,0),"??")&amp;"-"&amp;R15)</f>
        <v/>
      </c>
      <c r="B15" s="10" t="str">
        <f aca="false">IF(C15="","",C15&amp;" "&amp;D15&amp;"W x "&amp;E15&amp;"D, "&amp;H15&amp;", "&amp;I15)</f>
        <v/>
      </c>
      <c r="C15" s="9"/>
      <c r="D15" s="36"/>
      <c r="E15" s="36"/>
      <c r="F15" s="36"/>
      <c r="G15" s="36"/>
      <c r="H15" s="9"/>
      <c r="I15" s="9"/>
      <c r="J15" s="9"/>
      <c r="K15" s="9"/>
      <c r="L15" s="3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37"/>
      <c r="Y15" s="38"/>
      <c r="Z15" s="39"/>
      <c r="AA15" s="39"/>
      <c r="AB15" s="9"/>
      <c r="AC15" s="9"/>
      <c r="AD15" s="9"/>
      <c r="AE15" s="9"/>
      <c r="AF15" s="9"/>
      <c r="AG15" s="40"/>
      <c r="AH15" s="10" t="str">
        <f aca="false">IF(C15="","",C15&amp;"|"&amp;D15&amp;"|"&amp;E15&amp;"|"&amp;H15&amp;"|"&amp;S15)</f>
        <v/>
      </c>
    </row>
    <row r="16" customFormat="false" ht="15" hidden="false" customHeight="false" outlineLevel="0" collapsed="false">
      <c r="A16" s="10" t="str">
        <f aca="false">IF(C16="","","DRN-"&amp;IFERROR(VLOOKUP(C16,Lists!$A$4:$B$21,2,0),"??")&amp;"-"&amp;TEXT(D16,"0000")&amp;"x"&amp;TEXT(E16,"0000")&amp;"-"&amp;IFERROR(VLOOKUP(H16,Lists!$D$4:$E$18,2,0),"??")&amp;"-"&amp;R16)</f>
        <v/>
      </c>
      <c r="B16" s="10" t="str">
        <f aca="false">IF(C16="","",C16&amp;" "&amp;D16&amp;"W x "&amp;E16&amp;"D, "&amp;H16&amp;", "&amp;I16)</f>
        <v/>
      </c>
      <c r="C16" s="9"/>
      <c r="D16" s="36"/>
      <c r="E16" s="36"/>
      <c r="F16" s="36"/>
      <c r="G16" s="36"/>
      <c r="H16" s="9"/>
      <c r="I16" s="9"/>
      <c r="J16" s="9"/>
      <c r="K16" s="9"/>
      <c r="L16" s="3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37"/>
      <c r="Y16" s="38"/>
      <c r="Z16" s="39"/>
      <c r="AA16" s="39"/>
      <c r="AB16" s="9"/>
      <c r="AC16" s="9"/>
      <c r="AD16" s="9"/>
      <c r="AE16" s="9"/>
      <c r="AF16" s="9"/>
      <c r="AG16" s="40"/>
      <c r="AH16" s="10" t="str">
        <f aca="false">IF(C16="","",C16&amp;"|"&amp;D16&amp;"|"&amp;E16&amp;"|"&amp;H16&amp;"|"&amp;S16)</f>
        <v/>
      </c>
    </row>
    <row r="17" customFormat="false" ht="15" hidden="false" customHeight="false" outlineLevel="0" collapsed="false">
      <c r="A17" s="10" t="str">
        <f aca="false">IF(C17="","","DRN-"&amp;IFERROR(VLOOKUP(C17,Lists!$A$4:$B$21,2,0),"??")&amp;"-"&amp;TEXT(D17,"0000")&amp;"x"&amp;TEXT(E17,"0000")&amp;"-"&amp;IFERROR(VLOOKUP(H17,Lists!$D$4:$E$18,2,0),"??")&amp;"-"&amp;R17)</f>
        <v/>
      </c>
      <c r="B17" s="10" t="str">
        <f aca="false">IF(C17="","",C17&amp;" "&amp;D17&amp;"W x "&amp;E17&amp;"D, "&amp;H17&amp;", "&amp;I17)</f>
        <v/>
      </c>
      <c r="C17" s="9"/>
      <c r="D17" s="36"/>
      <c r="E17" s="36"/>
      <c r="F17" s="36"/>
      <c r="G17" s="36"/>
      <c r="H17" s="9"/>
      <c r="I17" s="9"/>
      <c r="J17" s="9"/>
      <c r="K17" s="9"/>
      <c r="L17" s="3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37"/>
      <c r="Y17" s="38"/>
      <c r="Z17" s="39"/>
      <c r="AA17" s="39"/>
      <c r="AB17" s="9"/>
      <c r="AC17" s="9"/>
      <c r="AD17" s="9"/>
      <c r="AE17" s="9"/>
      <c r="AF17" s="9"/>
      <c r="AG17" s="40"/>
      <c r="AH17" s="10" t="str">
        <f aca="false">IF(C17="","",C17&amp;"|"&amp;D17&amp;"|"&amp;E17&amp;"|"&amp;H17&amp;"|"&amp;S17)</f>
        <v/>
      </c>
    </row>
    <row r="18" customFormat="false" ht="15" hidden="false" customHeight="false" outlineLevel="0" collapsed="false">
      <c r="A18" s="10" t="str">
        <f aca="false">IF(C18="","","DRN-"&amp;IFERROR(VLOOKUP(C18,Lists!$A$4:$B$21,2,0),"??")&amp;"-"&amp;TEXT(D18,"0000")&amp;"x"&amp;TEXT(E18,"0000")&amp;"-"&amp;IFERROR(VLOOKUP(H18,Lists!$D$4:$E$18,2,0),"??")&amp;"-"&amp;R18)</f>
        <v/>
      </c>
      <c r="B18" s="10" t="str">
        <f aca="false">IF(C18="","",C18&amp;" "&amp;D18&amp;"W x "&amp;E18&amp;"D, "&amp;H18&amp;", "&amp;I18)</f>
        <v/>
      </c>
      <c r="C18" s="9"/>
      <c r="D18" s="36"/>
      <c r="E18" s="36"/>
      <c r="F18" s="36"/>
      <c r="G18" s="36"/>
      <c r="H18" s="9"/>
      <c r="I18" s="9"/>
      <c r="J18" s="9"/>
      <c r="K18" s="9"/>
      <c r="L18" s="3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37"/>
      <c r="Y18" s="38"/>
      <c r="Z18" s="39"/>
      <c r="AA18" s="39"/>
      <c r="AB18" s="9"/>
      <c r="AC18" s="9"/>
      <c r="AD18" s="9"/>
      <c r="AE18" s="9"/>
      <c r="AF18" s="9"/>
      <c r="AG18" s="40"/>
      <c r="AH18" s="10" t="str">
        <f aca="false">IF(C18="","",C18&amp;"|"&amp;D18&amp;"|"&amp;E18&amp;"|"&amp;H18&amp;"|"&amp;S18)</f>
        <v/>
      </c>
    </row>
    <row r="19" customFormat="false" ht="15" hidden="false" customHeight="false" outlineLevel="0" collapsed="false">
      <c r="A19" s="10" t="str">
        <f aca="false">IF(C19="","","DRN-"&amp;IFERROR(VLOOKUP(C19,Lists!$A$4:$B$21,2,0),"??")&amp;"-"&amp;TEXT(D19,"0000")&amp;"x"&amp;TEXT(E19,"0000")&amp;"-"&amp;IFERROR(VLOOKUP(H19,Lists!$D$4:$E$18,2,0),"??")&amp;"-"&amp;R19)</f>
        <v/>
      </c>
      <c r="B19" s="10" t="str">
        <f aca="false">IF(C19="","",C19&amp;" "&amp;D19&amp;"W x "&amp;E19&amp;"D, "&amp;H19&amp;", "&amp;I19)</f>
        <v/>
      </c>
      <c r="C19" s="9"/>
      <c r="D19" s="36"/>
      <c r="E19" s="36"/>
      <c r="F19" s="36"/>
      <c r="G19" s="36"/>
      <c r="H19" s="9"/>
      <c r="I19" s="9"/>
      <c r="J19" s="9"/>
      <c r="K19" s="9"/>
      <c r="L19" s="3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37"/>
      <c r="Y19" s="38"/>
      <c r="Z19" s="39"/>
      <c r="AA19" s="39"/>
      <c r="AB19" s="9"/>
      <c r="AC19" s="9"/>
      <c r="AD19" s="9"/>
      <c r="AE19" s="9"/>
      <c r="AF19" s="9"/>
      <c r="AG19" s="40"/>
      <c r="AH19" s="10" t="str">
        <f aca="false">IF(C19="","",C19&amp;"|"&amp;D19&amp;"|"&amp;E19&amp;"|"&amp;H19&amp;"|"&amp;S19)</f>
        <v/>
      </c>
    </row>
    <row r="20" customFormat="false" ht="15" hidden="false" customHeight="false" outlineLevel="0" collapsed="false">
      <c r="A20" s="10" t="str">
        <f aca="false">IF(C20="","","DRN-"&amp;IFERROR(VLOOKUP(C20,Lists!$A$4:$B$21,2,0),"??")&amp;"-"&amp;TEXT(D20,"0000")&amp;"x"&amp;TEXT(E20,"0000")&amp;"-"&amp;IFERROR(VLOOKUP(H20,Lists!$D$4:$E$18,2,0),"??")&amp;"-"&amp;R20)</f>
        <v/>
      </c>
      <c r="B20" s="10" t="str">
        <f aca="false">IF(C20="","",C20&amp;" "&amp;D20&amp;"W x "&amp;E20&amp;"D, "&amp;H20&amp;", "&amp;I20)</f>
        <v/>
      </c>
      <c r="C20" s="9"/>
      <c r="D20" s="36"/>
      <c r="E20" s="36"/>
      <c r="F20" s="36"/>
      <c r="G20" s="36"/>
      <c r="H20" s="9"/>
      <c r="I20" s="9"/>
      <c r="J20" s="9"/>
      <c r="K20" s="9"/>
      <c r="L20" s="3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37"/>
      <c r="Y20" s="38"/>
      <c r="Z20" s="39"/>
      <c r="AA20" s="39"/>
      <c r="AB20" s="9"/>
      <c r="AC20" s="9"/>
      <c r="AD20" s="9"/>
      <c r="AE20" s="9"/>
      <c r="AF20" s="9"/>
      <c r="AG20" s="40"/>
      <c r="AH20" s="10" t="str">
        <f aca="false">IF(C20="","",C20&amp;"|"&amp;D20&amp;"|"&amp;E20&amp;"|"&amp;H20&amp;"|"&amp;S20)</f>
        <v/>
      </c>
    </row>
    <row r="21" customFormat="false" ht="15" hidden="false" customHeight="false" outlineLevel="0" collapsed="false">
      <c r="A21" s="10" t="str">
        <f aca="false">IF(C21="","","DRN-"&amp;IFERROR(VLOOKUP(C21,Lists!$A$4:$B$21,2,0),"??")&amp;"-"&amp;TEXT(D21,"0000")&amp;"x"&amp;TEXT(E21,"0000")&amp;"-"&amp;IFERROR(VLOOKUP(H21,Lists!$D$4:$E$18,2,0),"??")&amp;"-"&amp;R21)</f>
        <v/>
      </c>
      <c r="B21" s="10" t="str">
        <f aca="false">IF(C21="","",C21&amp;" "&amp;D21&amp;"W x "&amp;E21&amp;"D, "&amp;H21&amp;", "&amp;I21)</f>
        <v/>
      </c>
      <c r="C21" s="9"/>
      <c r="D21" s="36"/>
      <c r="E21" s="36"/>
      <c r="F21" s="36"/>
      <c r="G21" s="36"/>
      <c r="H21" s="9"/>
      <c r="I21" s="9"/>
      <c r="J21" s="9"/>
      <c r="K21" s="9"/>
      <c r="L21" s="3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37"/>
      <c r="Y21" s="38"/>
      <c r="Z21" s="39"/>
      <c r="AA21" s="39"/>
      <c r="AB21" s="9"/>
      <c r="AC21" s="9"/>
      <c r="AD21" s="9"/>
      <c r="AE21" s="9"/>
      <c r="AF21" s="9"/>
      <c r="AG21" s="40"/>
      <c r="AH21" s="10" t="str">
        <f aca="false">IF(C21="","",C21&amp;"|"&amp;D21&amp;"|"&amp;E21&amp;"|"&amp;H21&amp;"|"&amp;S21)</f>
        <v/>
      </c>
    </row>
    <row r="22" customFormat="false" ht="15" hidden="false" customHeight="false" outlineLevel="0" collapsed="false">
      <c r="A22" s="10" t="str">
        <f aca="false">IF(C22="","","DRN-"&amp;IFERROR(VLOOKUP(C22,Lists!$A$4:$B$21,2,0),"??")&amp;"-"&amp;TEXT(D22,"0000")&amp;"x"&amp;TEXT(E22,"0000")&amp;"-"&amp;IFERROR(VLOOKUP(H22,Lists!$D$4:$E$18,2,0),"??")&amp;"-"&amp;R22)</f>
        <v/>
      </c>
      <c r="B22" s="10" t="str">
        <f aca="false">IF(C22="","",C22&amp;" "&amp;D22&amp;"W x "&amp;E22&amp;"D, "&amp;H22&amp;", "&amp;I22)</f>
        <v/>
      </c>
      <c r="C22" s="9"/>
      <c r="D22" s="36"/>
      <c r="E22" s="36"/>
      <c r="F22" s="36"/>
      <c r="G22" s="36"/>
      <c r="H22" s="9"/>
      <c r="I22" s="9"/>
      <c r="J22" s="9"/>
      <c r="K22" s="9"/>
      <c r="L22" s="3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37"/>
      <c r="Y22" s="38"/>
      <c r="Z22" s="39"/>
      <c r="AA22" s="39"/>
      <c r="AB22" s="9"/>
      <c r="AC22" s="9"/>
      <c r="AD22" s="9"/>
      <c r="AE22" s="9"/>
      <c r="AF22" s="9"/>
      <c r="AG22" s="40"/>
      <c r="AH22" s="10" t="str">
        <f aca="false">IF(C22="","",C22&amp;"|"&amp;D22&amp;"|"&amp;E22&amp;"|"&amp;H22&amp;"|"&amp;S22)</f>
        <v/>
      </c>
    </row>
    <row r="23" customFormat="false" ht="15" hidden="false" customHeight="false" outlineLevel="0" collapsed="false">
      <c r="A23" s="10" t="str">
        <f aca="false">IF(C23="","","DRN-"&amp;IFERROR(VLOOKUP(C23,Lists!$A$4:$B$21,2,0),"??")&amp;"-"&amp;TEXT(D23,"0000")&amp;"x"&amp;TEXT(E23,"0000")&amp;"-"&amp;IFERROR(VLOOKUP(H23,Lists!$D$4:$E$18,2,0),"??")&amp;"-"&amp;R23)</f>
        <v/>
      </c>
      <c r="B23" s="10" t="str">
        <f aca="false">IF(C23="","",C23&amp;" "&amp;D23&amp;"W x "&amp;E23&amp;"D, "&amp;H23&amp;", "&amp;I23)</f>
        <v/>
      </c>
      <c r="C23" s="9"/>
      <c r="D23" s="36"/>
      <c r="E23" s="36"/>
      <c r="F23" s="36"/>
      <c r="G23" s="36"/>
      <c r="H23" s="9"/>
      <c r="I23" s="9"/>
      <c r="J23" s="9"/>
      <c r="K23" s="9"/>
      <c r="L23" s="3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7"/>
      <c r="Y23" s="38"/>
      <c r="Z23" s="39"/>
      <c r="AA23" s="39"/>
      <c r="AB23" s="9"/>
      <c r="AC23" s="9"/>
      <c r="AD23" s="9"/>
      <c r="AE23" s="9"/>
      <c r="AF23" s="9"/>
      <c r="AG23" s="40"/>
      <c r="AH23" s="10" t="str">
        <f aca="false">IF(C23="","",C23&amp;"|"&amp;D23&amp;"|"&amp;E23&amp;"|"&amp;H23&amp;"|"&amp;S23)</f>
        <v/>
      </c>
    </row>
    <row r="24" customFormat="false" ht="15" hidden="false" customHeight="false" outlineLevel="0" collapsed="false">
      <c r="A24" s="10" t="str">
        <f aca="false">IF(C24="","","DRN-"&amp;IFERROR(VLOOKUP(C24,Lists!$A$4:$B$21,2,0),"??")&amp;"-"&amp;TEXT(D24,"0000")&amp;"x"&amp;TEXT(E24,"0000")&amp;"-"&amp;IFERROR(VLOOKUP(H24,Lists!$D$4:$E$18,2,0),"??")&amp;"-"&amp;R24)</f>
        <v/>
      </c>
      <c r="B24" s="10" t="str">
        <f aca="false">IF(C24="","",C24&amp;" "&amp;D24&amp;"W x "&amp;E24&amp;"D, "&amp;H24&amp;", "&amp;I24)</f>
        <v/>
      </c>
      <c r="C24" s="9"/>
      <c r="D24" s="36"/>
      <c r="E24" s="36"/>
      <c r="F24" s="36"/>
      <c r="G24" s="36"/>
      <c r="H24" s="9"/>
      <c r="I24" s="9"/>
      <c r="J24" s="9"/>
      <c r="K24" s="9"/>
      <c r="L24" s="3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37"/>
      <c r="Y24" s="38"/>
      <c r="Z24" s="39"/>
      <c r="AA24" s="39"/>
      <c r="AB24" s="9"/>
      <c r="AC24" s="9"/>
      <c r="AD24" s="9"/>
      <c r="AE24" s="9"/>
      <c r="AF24" s="9"/>
      <c r="AG24" s="40"/>
      <c r="AH24" s="10" t="str">
        <f aca="false">IF(C24="","",C24&amp;"|"&amp;D24&amp;"|"&amp;E24&amp;"|"&amp;H24&amp;"|"&amp;S24)</f>
        <v/>
      </c>
    </row>
    <row r="25" customFormat="false" ht="15" hidden="false" customHeight="false" outlineLevel="0" collapsed="false">
      <c r="A25" s="10" t="str">
        <f aca="false">IF(C25="","","DRN-"&amp;IFERROR(VLOOKUP(C25,Lists!$A$4:$B$21,2,0),"??")&amp;"-"&amp;TEXT(D25,"0000")&amp;"x"&amp;TEXT(E25,"0000")&amp;"-"&amp;IFERROR(VLOOKUP(H25,Lists!$D$4:$E$18,2,0),"??")&amp;"-"&amp;R25)</f>
        <v/>
      </c>
      <c r="B25" s="10" t="str">
        <f aca="false">IF(C25="","",C25&amp;" "&amp;D25&amp;"W x "&amp;E25&amp;"D, "&amp;H25&amp;", "&amp;I25)</f>
        <v/>
      </c>
      <c r="C25" s="9"/>
      <c r="D25" s="36"/>
      <c r="E25" s="36"/>
      <c r="F25" s="36"/>
      <c r="G25" s="36"/>
      <c r="H25" s="9"/>
      <c r="I25" s="9"/>
      <c r="J25" s="9"/>
      <c r="K25" s="9"/>
      <c r="L25" s="3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37"/>
      <c r="Y25" s="38"/>
      <c r="Z25" s="39"/>
      <c r="AA25" s="39"/>
      <c r="AB25" s="9"/>
      <c r="AC25" s="9"/>
      <c r="AD25" s="9"/>
      <c r="AE25" s="9"/>
      <c r="AF25" s="9"/>
      <c r="AG25" s="40"/>
      <c r="AH25" s="10" t="str">
        <f aca="false">IF(C25="","",C25&amp;"|"&amp;D25&amp;"|"&amp;E25&amp;"|"&amp;H25&amp;"|"&amp;S25)</f>
        <v/>
      </c>
    </row>
    <row r="26" customFormat="false" ht="15" hidden="false" customHeight="false" outlineLevel="0" collapsed="false">
      <c r="A26" s="10" t="str">
        <f aca="false">IF(C26="","","DRN-"&amp;IFERROR(VLOOKUP(C26,Lists!$A$4:$B$21,2,0),"??")&amp;"-"&amp;TEXT(D26,"0000")&amp;"x"&amp;TEXT(E26,"0000")&amp;"-"&amp;IFERROR(VLOOKUP(H26,Lists!$D$4:$E$18,2,0),"??")&amp;"-"&amp;R26)</f>
        <v/>
      </c>
      <c r="B26" s="10" t="str">
        <f aca="false">IF(C26="","",C26&amp;" "&amp;D26&amp;"W x "&amp;E26&amp;"D, "&amp;H26&amp;", "&amp;I26)</f>
        <v/>
      </c>
      <c r="C26" s="9"/>
      <c r="D26" s="36"/>
      <c r="E26" s="36"/>
      <c r="F26" s="36"/>
      <c r="G26" s="36"/>
      <c r="H26" s="9"/>
      <c r="I26" s="9"/>
      <c r="J26" s="9"/>
      <c r="K26" s="9"/>
      <c r="L26" s="3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37"/>
      <c r="Y26" s="38"/>
      <c r="Z26" s="39"/>
      <c r="AA26" s="39"/>
      <c r="AB26" s="9"/>
      <c r="AC26" s="9"/>
      <c r="AD26" s="9"/>
      <c r="AE26" s="9"/>
      <c r="AF26" s="9"/>
      <c r="AG26" s="40"/>
      <c r="AH26" s="10" t="str">
        <f aca="false">IF(C26="","",C26&amp;"|"&amp;D26&amp;"|"&amp;E26&amp;"|"&amp;H26&amp;"|"&amp;S26)</f>
        <v/>
      </c>
    </row>
    <row r="27" customFormat="false" ht="15" hidden="false" customHeight="false" outlineLevel="0" collapsed="false">
      <c r="A27" s="10" t="str">
        <f aca="false">IF(C27="","","DRN-"&amp;IFERROR(VLOOKUP(C27,Lists!$A$4:$B$21,2,0),"??")&amp;"-"&amp;TEXT(D27,"0000")&amp;"x"&amp;TEXT(E27,"0000")&amp;"-"&amp;IFERROR(VLOOKUP(H27,Lists!$D$4:$E$18,2,0),"??")&amp;"-"&amp;R27)</f>
        <v/>
      </c>
      <c r="B27" s="10" t="str">
        <f aca="false">IF(C27="","",C27&amp;" "&amp;D27&amp;"W x "&amp;E27&amp;"D, "&amp;H27&amp;", "&amp;I27)</f>
        <v/>
      </c>
      <c r="C27" s="9"/>
      <c r="D27" s="36"/>
      <c r="E27" s="36"/>
      <c r="F27" s="36"/>
      <c r="G27" s="36"/>
      <c r="H27" s="9"/>
      <c r="I27" s="9"/>
      <c r="J27" s="9"/>
      <c r="K27" s="9"/>
      <c r="L27" s="3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37"/>
      <c r="Y27" s="38"/>
      <c r="Z27" s="39"/>
      <c r="AA27" s="39"/>
      <c r="AB27" s="9"/>
      <c r="AC27" s="9"/>
      <c r="AD27" s="9"/>
      <c r="AE27" s="9"/>
      <c r="AF27" s="9"/>
      <c r="AG27" s="40"/>
      <c r="AH27" s="10" t="str">
        <f aca="false">IF(C27="","",C27&amp;"|"&amp;D27&amp;"|"&amp;E27&amp;"|"&amp;H27&amp;"|"&amp;S27)</f>
        <v/>
      </c>
    </row>
    <row r="28" customFormat="false" ht="15" hidden="false" customHeight="false" outlineLevel="0" collapsed="false">
      <c r="A28" s="10" t="str">
        <f aca="false">IF(C28="","","DRN-"&amp;IFERROR(VLOOKUP(C28,Lists!$A$4:$B$21,2,0),"??")&amp;"-"&amp;TEXT(D28,"0000")&amp;"x"&amp;TEXT(E28,"0000")&amp;"-"&amp;IFERROR(VLOOKUP(H28,Lists!$D$4:$E$18,2,0),"??")&amp;"-"&amp;R28)</f>
        <v/>
      </c>
      <c r="B28" s="10" t="str">
        <f aca="false">IF(C28="","",C28&amp;" "&amp;D28&amp;"W x "&amp;E28&amp;"D, "&amp;H28&amp;", "&amp;I28)</f>
        <v/>
      </c>
      <c r="C28" s="9"/>
      <c r="D28" s="36"/>
      <c r="E28" s="36"/>
      <c r="F28" s="36"/>
      <c r="G28" s="36"/>
      <c r="H28" s="9"/>
      <c r="I28" s="9"/>
      <c r="J28" s="9"/>
      <c r="K28" s="9"/>
      <c r="L28" s="3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37"/>
      <c r="Y28" s="38"/>
      <c r="Z28" s="39"/>
      <c r="AA28" s="39"/>
      <c r="AB28" s="9"/>
      <c r="AC28" s="9"/>
      <c r="AD28" s="9"/>
      <c r="AE28" s="9"/>
      <c r="AF28" s="9"/>
      <c r="AG28" s="40"/>
      <c r="AH28" s="10" t="str">
        <f aca="false">IF(C28="","",C28&amp;"|"&amp;D28&amp;"|"&amp;E28&amp;"|"&amp;H28&amp;"|"&amp;S28)</f>
        <v/>
      </c>
    </row>
    <row r="29" customFormat="false" ht="15" hidden="false" customHeight="false" outlineLevel="0" collapsed="false">
      <c r="A29" s="10" t="str">
        <f aca="false">IF(C29="","","DRN-"&amp;IFERROR(VLOOKUP(C29,Lists!$A$4:$B$21,2,0),"??")&amp;"-"&amp;TEXT(D29,"0000")&amp;"x"&amp;TEXT(E29,"0000")&amp;"-"&amp;IFERROR(VLOOKUP(H29,Lists!$D$4:$E$18,2,0),"??")&amp;"-"&amp;R29)</f>
        <v/>
      </c>
      <c r="B29" s="10" t="str">
        <f aca="false">IF(C29="","",C29&amp;" "&amp;D29&amp;"W x "&amp;E29&amp;"D, "&amp;H29&amp;", "&amp;I29)</f>
        <v/>
      </c>
      <c r="C29" s="9"/>
      <c r="D29" s="36"/>
      <c r="E29" s="36"/>
      <c r="F29" s="36"/>
      <c r="G29" s="36"/>
      <c r="H29" s="9"/>
      <c r="I29" s="9"/>
      <c r="J29" s="9"/>
      <c r="K29" s="9"/>
      <c r="L29" s="3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37"/>
      <c r="Y29" s="38"/>
      <c r="Z29" s="39"/>
      <c r="AA29" s="39"/>
      <c r="AB29" s="9"/>
      <c r="AC29" s="9"/>
      <c r="AD29" s="9"/>
      <c r="AE29" s="9"/>
      <c r="AF29" s="9"/>
      <c r="AG29" s="40"/>
      <c r="AH29" s="10" t="str">
        <f aca="false">IF(C29="","",C29&amp;"|"&amp;D29&amp;"|"&amp;E29&amp;"|"&amp;H29&amp;"|"&amp;S29)</f>
        <v/>
      </c>
    </row>
    <row r="30" customFormat="false" ht="15" hidden="false" customHeight="false" outlineLevel="0" collapsed="false">
      <c r="A30" s="10" t="str">
        <f aca="false">IF(C30="","","DRN-"&amp;IFERROR(VLOOKUP(C30,Lists!$A$4:$B$21,2,0),"??")&amp;"-"&amp;TEXT(D30,"0000")&amp;"x"&amp;TEXT(E30,"0000")&amp;"-"&amp;IFERROR(VLOOKUP(H30,Lists!$D$4:$E$18,2,0),"??")&amp;"-"&amp;R30)</f>
        <v/>
      </c>
      <c r="B30" s="10" t="str">
        <f aca="false">IF(C30="","",C30&amp;" "&amp;D30&amp;"W x "&amp;E30&amp;"D, "&amp;H30&amp;", "&amp;I30)</f>
        <v/>
      </c>
      <c r="C30" s="9"/>
      <c r="D30" s="36"/>
      <c r="E30" s="36"/>
      <c r="F30" s="36"/>
      <c r="G30" s="36"/>
      <c r="H30" s="9"/>
      <c r="I30" s="9"/>
      <c r="J30" s="9"/>
      <c r="K30" s="9"/>
      <c r="L30" s="3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37"/>
      <c r="Y30" s="38"/>
      <c r="Z30" s="39"/>
      <c r="AA30" s="39"/>
      <c r="AB30" s="9"/>
      <c r="AC30" s="9"/>
      <c r="AD30" s="9"/>
      <c r="AE30" s="9"/>
      <c r="AF30" s="9"/>
      <c r="AG30" s="40"/>
      <c r="AH30" s="10" t="str">
        <f aca="false">IF(C30="","",C30&amp;"|"&amp;D30&amp;"|"&amp;E30&amp;"|"&amp;H30&amp;"|"&amp;S30)</f>
        <v/>
      </c>
    </row>
    <row r="31" customFormat="false" ht="15" hidden="false" customHeight="false" outlineLevel="0" collapsed="false">
      <c r="A31" s="10" t="str">
        <f aca="false">IF(C31="","","DRN-"&amp;IFERROR(VLOOKUP(C31,Lists!$A$4:$B$21,2,0),"??")&amp;"-"&amp;TEXT(D31,"0000")&amp;"x"&amp;TEXT(E31,"0000")&amp;"-"&amp;IFERROR(VLOOKUP(H31,Lists!$D$4:$E$18,2,0),"??")&amp;"-"&amp;R31)</f>
        <v/>
      </c>
      <c r="B31" s="10" t="str">
        <f aca="false">IF(C31="","",C31&amp;" "&amp;D31&amp;"W x "&amp;E31&amp;"D, "&amp;H31&amp;", "&amp;I31)</f>
        <v/>
      </c>
      <c r="C31" s="9"/>
      <c r="D31" s="36"/>
      <c r="E31" s="36"/>
      <c r="F31" s="36"/>
      <c r="G31" s="36"/>
      <c r="H31" s="9"/>
      <c r="I31" s="9"/>
      <c r="J31" s="9"/>
      <c r="K31" s="9"/>
      <c r="L31" s="3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37"/>
      <c r="Y31" s="38"/>
      <c r="Z31" s="39"/>
      <c r="AA31" s="39"/>
      <c r="AB31" s="9"/>
      <c r="AC31" s="9"/>
      <c r="AD31" s="9"/>
      <c r="AE31" s="9"/>
      <c r="AF31" s="9"/>
      <c r="AG31" s="40"/>
      <c r="AH31" s="10" t="str">
        <f aca="false">IF(C31="","",C31&amp;"|"&amp;D31&amp;"|"&amp;E31&amp;"|"&amp;H31&amp;"|"&amp;S31)</f>
        <v/>
      </c>
    </row>
    <row r="32" customFormat="false" ht="15" hidden="false" customHeight="false" outlineLevel="0" collapsed="false">
      <c r="A32" s="10" t="str">
        <f aca="false">IF(C32="","","DRN-"&amp;IFERROR(VLOOKUP(C32,Lists!$A$4:$B$21,2,0),"??")&amp;"-"&amp;TEXT(D32,"0000")&amp;"x"&amp;TEXT(E32,"0000")&amp;"-"&amp;IFERROR(VLOOKUP(H32,Lists!$D$4:$E$18,2,0),"??")&amp;"-"&amp;R32)</f>
        <v/>
      </c>
      <c r="B32" s="10" t="str">
        <f aca="false">IF(C32="","",C32&amp;" "&amp;D32&amp;"W x "&amp;E32&amp;"D, "&amp;H32&amp;", "&amp;I32)</f>
        <v/>
      </c>
      <c r="C32" s="9"/>
      <c r="D32" s="36"/>
      <c r="E32" s="36"/>
      <c r="F32" s="36"/>
      <c r="G32" s="36"/>
      <c r="H32" s="9"/>
      <c r="I32" s="9"/>
      <c r="J32" s="9"/>
      <c r="K32" s="9"/>
      <c r="L32" s="3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37"/>
      <c r="Y32" s="38"/>
      <c r="Z32" s="39"/>
      <c r="AA32" s="39"/>
      <c r="AB32" s="9"/>
      <c r="AC32" s="9"/>
      <c r="AD32" s="9"/>
      <c r="AE32" s="9"/>
      <c r="AF32" s="9"/>
      <c r="AG32" s="40"/>
      <c r="AH32" s="10" t="str">
        <f aca="false">IF(C32="","",C32&amp;"|"&amp;D32&amp;"|"&amp;E32&amp;"|"&amp;H32&amp;"|"&amp;S32)</f>
        <v/>
      </c>
    </row>
    <row r="33" customFormat="false" ht="15" hidden="false" customHeight="false" outlineLevel="0" collapsed="false">
      <c r="A33" s="10" t="str">
        <f aca="false">IF(C33="","","DRN-"&amp;IFERROR(VLOOKUP(C33,Lists!$A$4:$B$21,2,0),"??")&amp;"-"&amp;TEXT(D33,"0000")&amp;"x"&amp;TEXT(E33,"0000")&amp;"-"&amp;IFERROR(VLOOKUP(H33,Lists!$D$4:$E$18,2,0),"??")&amp;"-"&amp;R33)</f>
        <v/>
      </c>
      <c r="B33" s="10" t="str">
        <f aca="false">IF(C33="","",C33&amp;" "&amp;D33&amp;"W x "&amp;E33&amp;"D, "&amp;H33&amp;", "&amp;I33)</f>
        <v/>
      </c>
      <c r="C33" s="9"/>
      <c r="D33" s="36"/>
      <c r="E33" s="36"/>
      <c r="F33" s="36"/>
      <c r="G33" s="36"/>
      <c r="H33" s="9"/>
      <c r="I33" s="9"/>
      <c r="J33" s="9"/>
      <c r="K33" s="9"/>
      <c r="L33" s="3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37"/>
      <c r="Y33" s="38"/>
      <c r="Z33" s="39"/>
      <c r="AA33" s="39"/>
      <c r="AB33" s="9"/>
      <c r="AC33" s="9"/>
      <c r="AD33" s="9"/>
      <c r="AE33" s="9"/>
      <c r="AF33" s="9"/>
      <c r="AG33" s="40"/>
      <c r="AH33" s="10" t="str">
        <f aca="false">IF(C33="","",C33&amp;"|"&amp;D33&amp;"|"&amp;E33&amp;"|"&amp;H33&amp;"|"&amp;S33)</f>
        <v/>
      </c>
    </row>
    <row r="34" customFormat="false" ht="15" hidden="false" customHeight="false" outlineLevel="0" collapsed="false">
      <c r="A34" s="10" t="str">
        <f aca="false">IF(C34="","","DRN-"&amp;IFERROR(VLOOKUP(C34,Lists!$A$4:$B$21,2,0),"??")&amp;"-"&amp;TEXT(D34,"0000")&amp;"x"&amp;TEXT(E34,"0000")&amp;"-"&amp;IFERROR(VLOOKUP(H34,Lists!$D$4:$E$18,2,0),"??")&amp;"-"&amp;R34)</f>
        <v/>
      </c>
      <c r="B34" s="10" t="str">
        <f aca="false">IF(C34="","",C34&amp;" "&amp;D34&amp;"W x "&amp;E34&amp;"D, "&amp;H34&amp;", "&amp;I34)</f>
        <v/>
      </c>
      <c r="C34" s="9"/>
      <c r="D34" s="36"/>
      <c r="E34" s="36"/>
      <c r="F34" s="36"/>
      <c r="G34" s="36"/>
      <c r="H34" s="9"/>
      <c r="I34" s="9"/>
      <c r="J34" s="9"/>
      <c r="K34" s="9"/>
      <c r="L34" s="3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37"/>
      <c r="Y34" s="38"/>
      <c r="Z34" s="39"/>
      <c r="AA34" s="39"/>
      <c r="AB34" s="9"/>
      <c r="AC34" s="9"/>
      <c r="AD34" s="9"/>
      <c r="AE34" s="9"/>
      <c r="AF34" s="9"/>
      <c r="AG34" s="40"/>
      <c r="AH34" s="10" t="str">
        <f aca="false">IF(C34="","",C34&amp;"|"&amp;D34&amp;"|"&amp;E34&amp;"|"&amp;H34&amp;"|"&amp;S34)</f>
        <v/>
      </c>
    </row>
    <row r="35" customFormat="false" ht="15" hidden="false" customHeight="false" outlineLevel="0" collapsed="false">
      <c r="A35" s="10" t="str">
        <f aca="false">IF(C35="","","DRN-"&amp;IFERROR(VLOOKUP(C35,Lists!$A$4:$B$21,2,0),"??")&amp;"-"&amp;TEXT(D35,"0000")&amp;"x"&amp;TEXT(E35,"0000")&amp;"-"&amp;IFERROR(VLOOKUP(H35,Lists!$D$4:$E$18,2,0),"??")&amp;"-"&amp;R35)</f>
        <v/>
      </c>
      <c r="B35" s="10" t="str">
        <f aca="false">IF(C35="","",C35&amp;" "&amp;D35&amp;"W x "&amp;E35&amp;"D, "&amp;H35&amp;", "&amp;I35)</f>
        <v/>
      </c>
      <c r="C35" s="9"/>
      <c r="D35" s="36"/>
      <c r="E35" s="36"/>
      <c r="F35" s="36"/>
      <c r="G35" s="36"/>
      <c r="H35" s="9"/>
      <c r="I35" s="9"/>
      <c r="J35" s="9"/>
      <c r="K35" s="9"/>
      <c r="L35" s="3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37"/>
      <c r="Y35" s="38"/>
      <c r="Z35" s="39"/>
      <c r="AA35" s="39"/>
      <c r="AB35" s="9"/>
      <c r="AC35" s="9"/>
      <c r="AD35" s="9"/>
      <c r="AE35" s="9"/>
      <c r="AF35" s="9"/>
      <c r="AG35" s="40"/>
      <c r="AH35" s="10" t="str">
        <f aca="false">IF(C35="","",C35&amp;"|"&amp;D35&amp;"|"&amp;E35&amp;"|"&amp;H35&amp;"|"&amp;S35)</f>
        <v/>
      </c>
    </row>
    <row r="36" customFormat="false" ht="15" hidden="false" customHeight="false" outlineLevel="0" collapsed="false">
      <c r="A36" s="10" t="str">
        <f aca="false">IF(C36="","","DRN-"&amp;IFERROR(VLOOKUP(C36,Lists!$A$4:$B$21,2,0),"??")&amp;"-"&amp;TEXT(D36,"0000")&amp;"x"&amp;TEXT(E36,"0000")&amp;"-"&amp;IFERROR(VLOOKUP(H36,Lists!$D$4:$E$18,2,0),"??")&amp;"-"&amp;R36)</f>
        <v/>
      </c>
      <c r="B36" s="10" t="str">
        <f aca="false">IF(C36="","",C36&amp;" "&amp;D36&amp;"W x "&amp;E36&amp;"D, "&amp;H36&amp;", "&amp;I36)</f>
        <v/>
      </c>
      <c r="C36" s="9"/>
      <c r="D36" s="36"/>
      <c r="E36" s="36"/>
      <c r="F36" s="36"/>
      <c r="G36" s="36"/>
      <c r="H36" s="9"/>
      <c r="I36" s="9"/>
      <c r="J36" s="9"/>
      <c r="K36" s="9"/>
      <c r="L36" s="3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37"/>
      <c r="Y36" s="38"/>
      <c r="Z36" s="39"/>
      <c r="AA36" s="39"/>
      <c r="AB36" s="9"/>
      <c r="AC36" s="9"/>
      <c r="AD36" s="9"/>
      <c r="AE36" s="9"/>
      <c r="AF36" s="9"/>
      <c r="AG36" s="40"/>
      <c r="AH36" s="10" t="str">
        <f aca="false">IF(C36="","",C36&amp;"|"&amp;D36&amp;"|"&amp;E36&amp;"|"&amp;H36&amp;"|"&amp;S36)</f>
        <v/>
      </c>
    </row>
    <row r="37" customFormat="false" ht="15" hidden="false" customHeight="false" outlineLevel="0" collapsed="false">
      <c r="A37" s="10" t="str">
        <f aca="false">IF(C37="","","DRN-"&amp;IFERROR(VLOOKUP(C37,Lists!$A$4:$B$21,2,0),"??")&amp;"-"&amp;TEXT(D37,"0000")&amp;"x"&amp;TEXT(E37,"0000")&amp;"-"&amp;IFERROR(VLOOKUP(H37,Lists!$D$4:$E$18,2,0),"??")&amp;"-"&amp;R37)</f>
        <v/>
      </c>
      <c r="B37" s="10" t="str">
        <f aca="false">IF(C37="","",C37&amp;" "&amp;D37&amp;"W x "&amp;E37&amp;"D, "&amp;H37&amp;", "&amp;I37)</f>
        <v/>
      </c>
      <c r="C37" s="9"/>
      <c r="D37" s="36"/>
      <c r="E37" s="36"/>
      <c r="F37" s="36"/>
      <c r="G37" s="36"/>
      <c r="H37" s="9"/>
      <c r="I37" s="9"/>
      <c r="J37" s="9"/>
      <c r="K37" s="9"/>
      <c r="L37" s="3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37"/>
      <c r="Y37" s="38"/>
      <c r="Z37" s="39"/>
      <c r="AA37" s="39"/>
      <c r="AB37" s="9"/>
      <c r="AC37" s="9"/>
      <c r="AD37" s="9"/>
      <c r="AE37" s="9"/>
      <c r="AF37" s="9"/>
      <c r="AG37" s="40"/>
      <c r="AH37" s="10" t="str">
        <f aca="false">IF(C37="","",C37&amp;"|"&amp;D37&amp;"|"&amp;E37&amp;"|"&amp;H37&amp;"|"&amp;S37)</f>
        <v/>
      </c>
    </row>
    <row r="38" customFormat="false" ht="15" hidden="false" customHeight="false" outlineLevel="0" collapsed="false">
      <c r="A38" s="10" t="str">
        <f aca="false">IF(C38="","","DRN-"&amp;IFERROR(VLOOKUP(C38,Lists!$A$4:$B$21,2,0),"??")&amp;"-"&amp;TEXT(D38,"0000")&amp;"x"&amp;TEXT(E38,"0000")&amp;"-"&amp;IFERROR(VLOOKUP(H38,Lists!$D$4:$E$18,2,0),"??")&amp;"-"&amp;R38)</f>
        <v/>
      </c>
      <c r="B38" s="10" t="str">
        <f aca="false">IF(C38="","",C38&amp;" "&amp;D38&amp;"W x "&amp;E38&amp;"D, "&amp;H38&amp;", "&amp;I38)</f>
        <v/>
      </c>
      <c r="C38" s="9"/>
      <c r="D38" s="36"/>
      <c r="E38" s="36"/>
      <c r="F38" s="36"/>
      <c r="G38" s="36"/>
      <c r="H38" s="9"/>
      <c r="I38" s="9"/>
      <c r="J38" s="9"/>
      <c r="K38" s="9"/>
      <c r="L38" s="3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37"/>
      <c r="Y38" s="38"/>
      <c r="Z38" s="39"/>
      <c r="AA38" s="39"/>
      <c r="AB38" s="9"/>
      <c r="AC38" s="9"/>
      <c r="AD38" s="9"/>
      <c r="AE38" s="9"/>
      <c r="AF38" s="9"/>
      <c r="AG38" s="40"/>
      <c r="AH38" s="10" t="str">
        <f aca="false">IF(C38="","",C38&amp;"|"&amp;D38&amp;"|"&amp;E38&amp;"|"&amp;H38&amp;"|"&amp;S38)</f>
        <v/>
      </c>
    </row>
    <row r="39" customFormat="false" ht="15" hidden="false" customHeight="false" outlineLevel="0" collapsed="false">
      <c r="A39" s="10" t="str">
        <f aca="false">IF(C39="","","DRN-"&amp;IFERROR(VLOOKUP(C39,Lists!$A$4:$B$21,2,0),"??")&amp;"-"&amp;TEXT(D39,"0000")&amp;"x"&amp;TEXT(E39,"0000")&amp;"-"&amp;IFERROR(VLOOKUP(H39,Lists!$D$4:$E$18,2,0),"??")&amp;"-"&amp;R39)</f>
        <v/>
      </c>
      <c r="B39" s="10" t="str">
        <f aca="false">IF(C39="","",C39&amp;" "&amp;D39&amp;"W x "&amp;E39&amp;"D, "&amp;H39&amp;", "&amp;I39)</f>
        <v/>
      </c>
      <c r="C39" s="9"/>
      <c r="D39" s="36"/>
      <c r="E39" s="36"/>
      <c r="F39" s="36"/>
      <c r="G39" s="36"/>
      <c r="H39" s="9"/>
      <c r="I39" s="9"/>
      <c r="J39" s="9"/>
      <c r="K39" s="9"/>
      <c r="L39" s="3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37"/>
      <c r="Y39" s="38"/>
      <c r="Z39" s="39"/>
      <c r="AA39" s="39"/>
      <c r="AB39" s="9"/>
      <c r="AC39" s="9"/>
      <c r="AD39" s="9"/>
      <c r="AE39" s="9"/>
      <c r="AF39" s="9"/>
      <c r="AG39" s="40"/>
      <c r="AH39" s="10" t="str">
        <f aca="false">IF(C39="","",C39&amp;"|"&amp;D39&amp;"|"&amp;E39&amp;"|"&amp;H39&amp;"|"&amp;S39)</f>
        <v/>
      </c>
    </row>
    <row r="40" customFormat="false" ht="15" hidden="false" customHeight="false" outlineLevel="0" collapsed="false">
      <c r="A40" s="10" t="str">
        <f aca="false">IF(C40="","","DRN-"&amp;IFERROR(VLOOKUP(C40,Lists!$A$4:$B$21,2,0),"??")&amp;"-"&amp;TEXT(D40,"0000")&amp;"x"&amp;TEXT(E40,"0000")&amp;"-"&amp;IFERROR(VLOOKUP(H40,Lists!$D$4:$E$18,2,0),"??")&amp;"-"&amp;R40)</f>
        <v/>
      </c>
      <c r="B40" s="10" t="str">
        <f aca="false">IF(C40="","",C40&amp;" "&amp;D40&amp;"W x "&amp;E40&amp;"D, "&amp;H40&amp;", "&amp;I40)</f>
        <v/>
      </c>
      <c r="C40" s="9"/>
      <c r="D40" s="36"/>
      <c r="E40" s="36"/>
      <c r="F40" s="36"/>
      <c r="G40" s="36"/>
      <c r="H40" s="9"/>
      <c r="I40" s="9"/>
      <c r="J40" s="9"/>
      <c r="K40" s="9"/>
      <c r="L40" s="3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37"/>
      <c r="Y40" s="38"/>
      <c r="Z40" s="39"/>
      <c r="AA40" s="39"/>
      <c r="AB40" s="9"/>
      <c r="AC40" s="9"/>
      <c r="AD40" s="9"/>
      <c r="AE40" s="9"/>
      <c r="AF40" s="9"/>
      <c r="AG40" s="40"/>
      <c r="AH40" s="10" t="str">
        <f aca="false">IF(C40="","",C40&amp;"|"&amp;D40&amp;"|"&amp;E40&amp;"|"&amp;H40&amp;"|"&amp;S40)</f>
        <v/>
      </c>
    </row>
    <row r="41" customFormat="false" ht="15" hidden="false" customHeight="false" outlineLevel="0" collapsed="false">
      <c r="A41" s="10" t="str">
        <f aca="false">IF(C41="","","DRN-"&amp;IFERROR(VLOOKUP(C41,Lists!$A$4:$B$21,2,0),"??")&amp;"-"&amp;TEXT(D41,"0000")&amp;"x"&amp;TEXT(E41,"0000")&amp;"-"&amp;IFERROR(VLOOKUP(H41,Lists!$D$4:$E$18,2,0),"??")&amp;"-"&amp;R41)</f>
        <v/>
      </c>
      <c r="B41" s="10" t="str">
        <f aca="false">IF(C41="","",C41&amp;" "&amp;D41&amp;"W x "&amp;E41&amp;"D, "&amp;H41&amp;", "&amp;I41)</f>
        <v/>
      </c>
      <c r="C41" s="9"/>
      <c r="D41" s="36"/>
      <c r="E41" s="36"/>
      <c r="F41" s="36"/>
      <c r="G41" s="36"/>
      <c r="H41" s="9"/>
      <c r="I41" s="9"/>
      <c r="J41" s="9"/>
      <c r="K41" s="9"/>
      <c r="L41" s="3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37"/>
      <c r="Y41" s="38"/>
      <c r="Z41" s="39"/>
      <c r="AA41" s="39"/>
      <c r="AB41" s="9"/>
      <c r="AC41" s="9"/>
      <c r="AD41" s="9"/>
      <c r="AE41" s="9"/>
      <c r="AF41" s="9"/>
      <c r="AG41" s="40"/>
      <c r="AH41" s="10" t="str">
        <f aca="false">IF(C41="","",C41&amp;"|"&amp;D41&amp;"|"&amp;E41&amp;"|"&amp;H41&amp;"|"&amp;S41)</f>
        <v/>
      </c>
    </row>
    <row r="42" customFormat="false" ht="15" hidden="false" customHeight="false" outlineLevel="0" collapsed="false">
      <c r="A42" s="10" t="str">
        <f aca="false">IF(C42="","","DRN-"&amp;IFERROR(VLOOKUP(C42,Lists!$A$4:$B$21,2,0),"??")&amp;"-"&amp;TEXT(D42,"0000")&amp;"x"&amp;TEXT(E42,"0000")&amp;"-"&amp;IFERROR(VLOOKUP(H42,Lists!$D$4:$E$18,2,0),"??")&amp;"-"&amp;R42)</f>
        <v/>
      </c>
      <c r="B42" s="10" t="str">
        <f aca="false">IF(C42="","",C42&amp;" "&amp;D42&amp;"W x "&amp;E42&amp;"D, "&amp;H42&amp;", "&amp;I42)</f>
        <v/>
      </c>
      <c r="C42" s="9"/>
      <c r="D42" s="36"/>
      <c r="E42" s="36"/>
      <c r="F42" s="36"/>
      <c r="G42" s="36"/>
      <c r="H42" s="9"/>
      <c r="I42" s="9"/>
      <c r="J42" s="9"/>
      <c r="K42" s="9"/>
      <c r="L42" s="3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37"/>
      <c r="Y42" s="38"/>
      <c r="Z42" s="39"/>
      <c r="AA42" s="39"/>
      <c r="AB42" s="9"/>
      <c r="AC42" s="9"/>
      <c r="AD42" s="9"/>
      <c r="AE42" s="9"/>
      <c r="AF42" s="9"/>
      <c r="AG42" s="40"/>
      <c r="AH42" s="10" t="str">
        <f aca="false">IF(C42="","",C42&amp;"|"&amp;D42&amp;"|"&amp;E42&amp;"|"&amp;H42&amp;"|"&amp;S42)</f>
        <v/>
      </c>
    </row>
    <row r="43" customFormat="false" ht="15" hidden="false" customHeight="false" outlineLevel="0" collapsed="false">
      <c r="A43" s="10" t="str">
        <f aca="false">IF(C43="","","DRN-"&amp;IFERROR(VLOOKUP(C43,Lists!$A$4:$B$21,2,0),"??")&amp;"-"&amp;TEXT(D43,"0000")&amp;"x"&amp;TEXT(E43,"0000")&amp;"-"&amp;IFERROR(VLOOKUP(H43,Lists!$D$4:$E$18,2,0),"??")&amp;"-"&amp;R43)</f>
        <v/>
      </c>
      <c r="B43" s="10" t="str">
        <f aca="false">IF(C43="","",C43&amp;" "&amp;D43&amp;"W x "&amp;E43&amp;"D, "&amp;H43&amp;", "&amp;I43)</f>
        <v/>
      </c>
      <c r="C43" s="9"/>
      <c r="D43" s="36"/>
      <c r="E43" s="36"/>
      <c r="F43" s="36"/>
      <c r="G43" s="36"/>
      <c r="H43" s="9"/>
      <c r="I43" s="9"/>
      <c r="J43" s="9"/>
      <c r="K43" s="9"/>
      <c r="L43" s="3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37"/>
      <c r="Y43" s="38"/>
      <c r="Z43" s="39"/>
      <c r="AA43" s="39"/>
      <c r="AB43" s="9"/>
      <c r="AC43" s="9"/>
      <c r="AD43" s="9"/>
      <c r="AE43" s="9"/>
      <c r="AF43" s="9"/>
      <c r="AG43" s="40"/>
      <c r="AH43" s="10" t="str">
        <f aca="false">IF(C43="","",C43&amp;"|"&amp;D43&amp;"|"&amp;E43&amp;"|"&amp;H43&amp;"|"&amp;S43)</f>
        <v/>
      </c>
    </row>
    <row r="44" customFormat="false" ht="15" hidden="false" customHeight="false" outlineLevel="0" collapsed="false">
      <c r="A44" s="10" t="str">
        <f aca="false">IF(C44="","","DRN-"&amp;IFERROR(VLOOKUP(C44,Lists!$A$4:$B$21,2,0),"??")&amp;"-"&amp;TEXT(D44,"0000")&amp;"x"&amp;TEXT(E44,"0000")&amp;"-"&amp;IFERROR(VLOOKUP(H44,Lists!$D$4:$E$18,2,0),"??")&amp;"-"&amp;R44)</f>
        <v/>
      </c>
      <c r="B44" s="10" t="str">
        <f aca="false">IF(C44="","",C44&amp;" "&amp;D44&amp;"W x "&amp;E44&amp;"D, "&amp;H44&amp;", "&amp;I44)</f>
        <v/>
      </c>
      <c r="C44" s="9"/>
      <c r="D44" s="36"/>
      <c r="E44" s="36"/>
      <c r="F44" s="36"/>
      <c r="G44" s="36"/>
      <c r="H44" s="9"/>
      <c r="I44" s="9"/>
      <c r="J44" s="9"/>
      <c r="K44" s="9"/>
      <c r="L44" s="3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37"/>
      <c r="Y44" s="38"/>
      <c r="Z44" s="39"/>
      <c r="AA44" s="39"/>
      <c r="AB44" s="9"/>
      <c r="AC44" s="9"/>
      <c r="AD44" s="9"/>
      <c r="AE44" s="9"/>
      <c r="AF44" s="9"/>
      <c r="AG44" s="40"/>
      <c r="AH44" s="10" t="str">
        <f aca="false">IF(C44="","",C44&amp;"|"&amp;D44&amp;"|"&amp;E44&amp;"|"&amp;H44&amp;"|"&amp;S44)</f>
        <v/>
      </c>
    </row>
    <row r="45" customFormat="false" ht="15" hidden="false" customHeight="false" outlineLevel="0" collapsed="false">
      <c r="A45" s="10" t="str">
        <f aca="false">IF(C45="","","DRN-"&amp;IFERROR(VLOOKUP(C45,Lists!$A$4:$B$21,2,0),"??")&amp;"-"&amp;TEXT(D45,"0000")&amp;"x"&amp;TEXT(E45,"0000")&amp;"-"&amp;IFERROR(VLOOKUP(H45,Lists!$D$4:$E$18,2,0),"??")&amp;"-"&amp;R45)</f>
        <v/>
      </c>
      <c r="B45" s="10" t="str">
        <f aca="false">IF(C45="","",C45&amp;" "&amp;D45&amp;"W x "&amp;E45&amp;"D, "&amp;H45&amp;", "&amp;I45)</f>
        <v/>
      </c>
      <c r="C45" s="9"/>
      <c r="D45" s="36"/>
      <c r="E45" s="36"/>
      <c r="F45" s="36"/>
      <c r="G45" s="36"/>
      <c r="H45" s="9"/>
      <c r="I45" s="9"/>
      <c r="J45" s="9"/>
      <c r="K45" s="9"/>
      <c r="L45" s="3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37"/>
      <c r="Y45" s="38"/>
      <c r="Z45" s="39"/>
      <c r="AA45" s="39"/>
      <c r="AB45" s="9"/>
      <c r="AC45" s="9"/>
      <c r="AD45" s="9"/>
      <c r="AE45" s="9"/>
      <c r="AF45" s="9"/>
      <c r="AG45" s="40"/>
      <c r="AH45" s="10" t="str">
        <f aca="false">IF(C45="","",C45&amp;"|"&amp;D45&amp;"|"&amp;E45&amp;"|"&amp;H45&amp;"|"&amp;S45)</f>
        <v/>
      </c>
    </row>
    <row r="46" customFormat="false" ht="15" hidden="false" customHeight="false" outlineLevel="0" collapsed="false">
      <c r="A46" s="10" t="str">
        <f aca="false">IF(C46="","","DRN-"&amp;IFERROR(VLOOKUP(C46,Lists!$A$4:$B$21,2,0),"??")&amp;"-"&amp;TEXT(D46,"0000")&amp;"x"&amp;TEXT(E46,"0000")&amp;"-"&amp;IFERROR(VLOOKUP(H46,Lists!$D$4:$E$18,2,0),"??")&amp;"-"&amp;R46)</f>
        <v/>
      </c>
      <c r="B46" s="10" t="str">
        <f aca="false">IF(C46="","",C46&amp;" "&amp;D46&amp;"W x "&amp;E46&amp;"D, "&amp;H46&amp;", "&amp;I46)</f>
        <v/>
      </c>
      <c r="C46" s="9"/>
      <c r="D46" s="36"/>
      <c r="E46" s="36"/>
      <c r="F46" s="36"/>
      <c r="G46" s="36"/>
      <c r="H46" s="9"/>
      <c r="I46" s="9"/>
      <c r="J46" s="9"/>
      <c r="K46" s="9"/>
      <c r="L46" s="3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37"/>
      <c r="Y46" s="38"/>
      <c r="Z46" s="39"/>
      <c r="AA46" s="39"/>
      <c r="AB46" s="9"/>
      <c r="AC46" s="9"/>
      <c r="AD46" s="9"/>
      <c r="AE46" s="9"/>
      <c r="AF46" s="9"/>
      <c r="AG46" s="40"/>
      <c r="AH46" s="10" t="str">
        <f aca="false">IF(C46="","",C46&amp;"|"&amp;D46&amp;"|"&amp;E46&amp;"|"&amp;H46&amp;"|"&amp;S46)</f>
        <v/>
      </c>
    </row>
    <row r="47" customFormat="false" ht="15" hidden="false" customHeight="false" outlineLevel="0" collapsed="false">
      <c r="A47" s="10" t="str">
        <f aca="false">IF(C47="","","DRN-"&amp;IFERROR(VLOOKUP(C47,Lists!$A$4:$B$21,2,0),"??")&amp;"-"&amp;TEXT(D47,"0000")&amp;"x"&amp;TEXT(E47,"0000")&amp;"-"&amp;IFERROR(VLOOKUP(H47,Lists!$D$4:$E$18,2,0),"??")&amp;"-"&amp;R47)</f>
        <v/>
      </c>
      <c r="B47" s="10" t="str">
        <f aca="false">IF(C47="","",C47&amp;" "&amp;D47&amp;"W x "&amp;E47&amp;"D, "&amp;H47&amp;", "&amp;I47)</f>
        <v/>
      </c>
      <c r="C47" s="9"/>
      <c r="D47" s="36"/>
      <c r="E47" s="36"/>
      <c r="F47" s="36"/>
      <c r="G47" s="36"/>
      <c r="H47" s="9"/>
      <c r="I47" s="9"/>
      <c r="J47" s="9"/>
      <c r="K47" s="9"/>
      <c r="L47" s="3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37"/>
      <c r="Y47" s="38"/>
      <c r="Z47" s="39"/>
      <c r="AA47" s="39"/>
      <c r="AB47" s="9"/>
      <c r="AC47" s="9"/>
      <c r="AD47" s="9"/>
      <c r="AE47" s="9"/>
      <c r="AF47" s="9"/>
      <c r="AG47" s="40"/>
      <c r="AH47" s="10" t="str">
        <f aca="false">IF(C47="","",C47&amp;"|"&amp;D47&amp;"|"&amp;E47&amp;"|"&amp;H47&amp;"|"&amp;S47)</f>
        <v/>
      </c>
    </row>
    <row r="48" customFormat="false" ht="15" hidden="false" customHeight="false" outlineLevel="0" collapsed="false">
      <c r="A48" s="10" t="str">
        <f aca="false">IF(C48="","","DRN-"&amp;IFERROR(VLOOKUP(C48,Lists!$A$4:$B$21,2,0),"??")&amp;"-"&amp;TEXT(D48,"0000")&amp;"x"&amp;TEXT(E48,"0000")&amp;"-"&amp;IFERROR(VLOOKUP(H48,Lists!$D$4:$E$18,2,0),"??")&amp;"-"&amp;R48)</f>
        <v/>
      </c>
      <c r="B48" s="10" t="str">
        <f aca="false">IF(C48="","",C48&amp;" "&amp;D48&amp;"W x "&amp;E48&amp;"D, "&amp;H48&amp;", "&amp;I48)</f>
        <v/>
      </c>
      <c r="C48" s="9"/>
      <c r="D48" s="36"/>
      <c r="E48" s="36"/>
      <c r="F48" s="36"/>
      <c r="G48" s="36"/>
      <c r="H48" s="9"/>
      <c r="I48" s="9"/>
      <c r="J48" s="9"/>
      <c r="K48" s="9"/>
      <c r="L48" s="3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37"/>
      <c r="Y48" s="38"/>
      <c r="Z48" s="39"/>
      <c r="AA48" s="39"/>
      <c r="AB48" s="9"/>
      <c r="AC48" s="9"/>
      <c r="AD48" s="9"/>
      <c r="AE48" s="9"/>
      <c r="AF48" s="9"/>
      <c r="AG48" s="40"/>
      <c r="AH48" s="10" t="str">
        <f aca="false">IF(C48="","",C48&amp;"|"&amp;D48&amp;"|"&amp;E48&amp;"|"&amp;H48&amp;"|"&amp;S48)</f>
        <v/>
      </c>
    </row>
    <row r="49" customFormat="false" ht="15" hidden="false" customHeight="false" outlineLevel="0" collapsed="false">
      <c r="A49" s="10" t="str">
        <f aca="false">IF(C49="","","DRN-"&amp;IFERROR(VLOOKUP(C49,Lists!$A$4:$B$21,2,0),"??")&amp;"-"&amp;TEXT(D49,"0000")&amp;"x"&amp;TEXT(E49,"0000")&amp;"-"&amp;IFERROR(VLOOKUP(H49,Lists!$D$4:$E$18,2,0),"??")&amp;"-"&amp;R49)</f>
        <v/>
      </c>
      <c r="B49" s="10" t="str">
        <f aca="false">IF(C49="","",C49&amp;" "&amp;D49&amp;"W x "&amp;E49&amp;"D, "&amp;H49&amp;", "&amp;I49)</f>
        <v/>
      </c>
      <c r="C49" s="9"/>
      <c r="D49" s="36"/>
      <c r="E49" s="36"/>
      <c r="F49" s="36"/>
      <c r="G49" s="36"/>
      <c r="H49" s="9"/>
      <c r="I49" s="9"/>
      <c r="J49" s="9"/>
      <c r="K49" s="9"/>
      <c r="L49" s="3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37"/>
      <c r="Y49" s="38"/>
      <c r="Z49" s="39"/>
      <c r="AA49" s="39"/>
      <c r="AB49" s="9"/>
      <c r="AC49" s="9"/>
      <c r="AD49" s="9"/>
      <c r="AE49" s="9"/>
      <c r="AF49" s="9"/>
      <c r="AG49" s="40"/>
      <c r="AH49" s="10" t="str">
        <f aca="false">IF(C49="","",C49&amp;"|"&amp;D49&amp;"|"&amp;E49&amp;"|"&amp;H49&amp;"|"&amp;S49)</f>
        <v/>
      </c>
    </row>
    <row r="50" customFormat="false" ht="15" hidden="false" customHeight="false" outlineLevel="0" collapsed="false">
      <c r="A50" s="10" t="str">
        <f aca="false">IF(C50="","","DRN-"&amp;IFERROR(VLOOKUP(C50,Lists!$A$4:$B$21,2,0),"??")&amp;"-"&amp;TEXT(D50,"0000")&amp;"x"&amp;TEXT(E50,"0000")&amp;"-"&amp;IFERROR(VLOOKUP(H50,Lists!$D$4:$E$18,2,0),"??")&amp;"-"&amp;R50)</f>
        <v/>
      </c>
      <c r="B50" s="10" t="str">
        <f aca="false">IF(C50="","",C50&amp;" "&amp;D50&amp;"W x "&amp;E50&amp;"D, "&amp;H50&amp;", "&amp;I50)</f>
        <v/>
      </c>
      <c r="C50" s="9"/>
      <c r="D50" s="36"/>
      <c r="E50" s="36"/>
      <c r="F50" s="36"/>
      <c r="G50" s="36"/>
      <c r="H50" s="9"/>
      <c r="I50" s="9"/>
      <c r="J50" s="9"/>
      <c r="K50" s="9"/>
      <c r="L50" s="3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37"/>
      <c r="Y50" s="38"/>
      <c r="Z50" s="39"/>
      <c r="AA50" s="39"/>
      <c r="AB50" s="9"/>
      <c r="AC50" s="9"/>
      <c r="AD50" s="9"/>
      <c r="AE50" s="9"/>
      <c r="AF50" s="9"/>
      <c r="AG50" s="40"/>
      <c r="AH50" s="10" t="str">
        <f aca="false">IF(C50="","",C50&amp;"|"&amp;D50&amp;"|"&amp;E50&amp;"|"&amp;H50&amp;"|"&amp;S50)</f>
        <v/>
      </c>
    </row>
    <row r="51" customFormat="false" ht="15" hidden="false" customHeight="false" outlineLevel="0" collapsed="false">
      <c r="A51" s="10" t="str">
        <f aca="false">IF(C51="","","DRN-"&amp;IFERROR(VLOOKUP(C51,Lists!$A$4:$B$21,2,0),"??")&amp;"-"&amp;TEXT(D51,"0000")&amp;"x"&amp;TEXT(E51,"0000")&amp;"-"&amp;IFERROR(VLOOKUP(H51,Lists!$D$4:$E$18,2,0),"??")&amp;"-"&amp;R51)</f>
        <v/>
      </c>
      <c r="B51" s="10" t="str">
        <f aca="false">IF(C51="","",C51&amp;" "&amp;D51&amp;"W x "&amp;E51&amp;"D, "&amp;H51&amp;", "&amp;I51)</f>
        <v/>
      </c>
      <c r="C51" s="9"/>
      <c r="D51" s="36"/>
      <c r="E51" s="36"/>
      <c r="F51" s="36"/>
      <c r="G51" s="36"/>
      <c r="H51" s="9"/>
      <c r="I51" s="9"/>
      <c r="J51" s="9"/>
      <c r="K51" s="9"/>
      <c r="L51" s="3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37"/>
      <c r="Y51" s="38"/>
      <c r="Z51" s="39"/>
      <c r="AA51" s="39"/>
      <c r="AB51" s="9"/>
      <c r="AC51" s="9"/>
      <c r="AD51" s="9"/>
      <c r="AE51" s="9"/>
      <c r="AF51" s="9"/>
      <c r="AG51" s="40"/>
      <c r="AH51" s="10" t="str">
        <f aca="false">IF(C51="","",C51&amp;"|"&amp;D51&amp;"|"&amp;E51&amp;"|"&amp;H51&amp;"|"&amp;S51)</f>
        <v/>
      </c>
    </row>
    <row r="52" customFormat="false" ht="15" hidden="false" customHeight="false" outlineLevel="0" collapsed="false">
      <c r="A52" s="10" t="str">
        <f aca="false">IF(C52="","","DRN-"&amp;IFERROR(VLOOKUP(C52,Lists!$A$4:$B$21,2,0),"??")&amp;"-"&amp;TEXT(D52,"0000")&amp;"x"&amp;TEXT(E52,"0000")&amp;"-"&amp;IFERROR(VLOOKUP(H52,Lists!$D$4:$E$18,2,0),"??")&amp;"-"&amp;R52)</f>
        <v/>
      </c>
      <c r="B52" s="10" t="str">
        <f aca="false">IF(C52="","",C52&amp;" "&amp;D52&amp;"W x "&amp;E52&amp;"D, "&amp;H52&amp;", "&amp;I52)</f>
        <v/>
      </c>
      <c r="C52" s="9"/>
      <c r="D52" s="36"/>
      <c r="E52" s="36"/>
      <c r="F52" s="36"/>
      <c r="G52" s="36"/>
      <c r="H52" s="9"/>
      <c r="I52" s="9"/>
      <c r="J52" s="9"/>
      <c r="K52" s="9"/>
      <c r="L52" s="3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37"/>
      <c r="Y52" s="38"/>
      <c r="Z52" s="39"/>
      <c r="AA52" s="39"/>
      <c r="AB52" s="9"/>
      <c r="AC52" s="9"/>
      <c r="AD52" s="9"/>
      <c r="AE52" s="9"/>
      <c r="AF52" s="9"/>
      <c r="AG52" s="40"/>
      <c r="AH52" s="10" t="str">
        <f aca="false">IF(C52="","",C52&amp;"|"&amp;D52&amp;"|"&amp;E52&amp;"|"&amp;H52&amp;"|"&amp;S52)</f>
        <v/>
      </c>
    </row>
    <row r="53" customFormat="false" ht="15" hidden="false" customHeight="false" outlineLevel="0" collapsed="false">
      <c r="A53" s="10" t="str">
        <f aca="false">IF(C53="","","DRN-"&amp;IFERROR(VLOOKUP(C53,Lists!$A$4:$B$21,2,0),"??")&amp;"-"&amp;TEXT(D53,"0000")&amp;"x"&amp;TEXT(E53,"0000")&amp;"-"&amp;IFERROR(VLOOKUP(H53,Lists!$D$4:$E$18,2,0),"??")&amp;"-"&amp;R53)</f>
        <v/>
      </c>
      <c r="B53" s="10" t="str">
        <f aca="false">IF(C53="","",C53&amp;" "&amp;D53&amp;"W x "&amp;E53&amp;"D, "&amp;H53&amp;", "&amp;I53)</f>
        <v/>
      </c>
      <c r="C53" s="9"/>
      <c r="D53" s="36"/>
      <c r="E53" s="36"/>
      <c r="F53" s="36"/>
      <c r="G53" s="36"/>
      <c r="H53" s="9"/>
      <c r="I53" s="9"/>
      <c r="J53" s="9"/>
      <c r="K53" s="9"/>
      <c r="L53" s="3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37"/>
      <c r="Y53" s="38"/>
      <c r="Z53" s="39"/>
      <c r="AA53" s="39"/>
      <c r="AB53" s="9"/>
      <c r="AC53" s="9"/>
      <c r="AD53" s="9"/>
      <c r="AE53" s="9"/>
      <c r="AF53" s="9"/>
      <c r="AG53" s="40"/>
      <c r="AH53" s="10" t="str">
        <f aca="false">IF(C53="","",C53&amp;"|"&amp;D53&amp;"|"&amp;E53&amp;"|"&amp;H53&amp;"|"&amp;S53)</f>
        <v/>
      </c>
    </row>
    <row r="54" customFormat="false" ht="15" hidden="false" customHeight="false" outlineLevel="0" collapsed="false">
      <c r="A54" s="10" t="str">
        <f aca="false">IF(C54="","","DRN-"&amp;IFERROR(VLOOKUP(C54,Lists!$A$4:$B$21,2,0),"??")&amp;"-"&amp;TEXT(D54,"0000")&amp;"x"&amp;TEXT(E54,"0000")&amp;"-"&amp;IFERROR(VLOOKUP(H54,Lists!$D$4:$E$18,2,0),"??")&amp;"-"&amp;R54)</f>
        <v/>
      </c>
      <c r="B54" s="10" t="str">
        <f aca="false">IF(C54="","",C54&amp;" "&amp;D54&amp;"W x "&amp;E54&amp;"D, "&amp;H54&amp;", "&amp;I54)</f>
        <v/>
      </c>
      <c r="C54" s="9"/>
      <c r="D54" s="36"/>
      <c r="E54" s="36"/>
      <c r="F54" s="36"/>
      <c r="G54" s="36"/>
      <c r="H54" s="9"/>
      <c r="I54" s="9"/>
      <c r="J54" s="9"/>
      <c r="K54" s="9"/>
      <c r="L54" s="3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37"/>
      <c r="Y54" s="38"/>
      <c r="Z54" s="39"/>
      <c r="AA54" s="39"/>
      <c r="AB54" s="9"/>
      <c r="AC54" s="9"/>
      <c r="AD54" s="9"/>
      <c r="AE54" s="9"/>
      <c r="AF54" s="9"/>
      <c r="AG54" s="40"/>
      <c r="AH54" s="10" t="str">
        <f aca="false">IF(C54="","",C54&amp;"|"&amp;D54&amp;"|"&amp;E54&amp;"|"&amp;H54&amp;"|"&amp;S54)</f>
        <v/>
      </c>
    </row>
    <row r="55" customFormat="false" ht="15" hidden="false" customHeight="false" outlineLevel="0" collapsed="false">
      <c r="A55" s="10" t="str">
        <f aca="false">IF(C55="","","DRN-"&amp;IFERROR(VLOOKUP(C55,Lists!$A$4:$B$21,2,0),"??")&amp;"-"&amp;TEXT(D55,"0000")&amp;"x"&amp;TEXT(E55,"0000")&amp;"-"&amp;IFERROR(VLOOKUP(H55,Lists!$D$4:$E$18,2,0),"??")&amp;"-"&amp;R55)</f>
        <v/>
      </c>
      <c r="B55" s="10" t="str">
        <f aca="false">IF(C55="","",C55&amp;" "&amp;D55&amp;"W x "&amp;E55&amp;"D, "&amp;H55&amp;", "&amp;I55)</f>
        <v/>
      </c>
      <c r="C55" s="9"/>
      <c r="D55" s="36"/>
      <c r="E55" s="36"/>
      <c r="F55" s="36"/>
      <c r="G55" s="36"/>
      <c r="H55" s="9"/>
      <c r="I55" s="9"/>
      <c r="J55" s="9"/>
      <c r="K55" s="9"/>
      <c r="L55" s="3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37"/>
      <c r="Y55" s="38"/>
      <c r="Z55" s="39"/>
      <c r="AA55" s="39"/>
      <c r="AB55" s="9"/>
      <c r="AC55" s="9"/>
      <c r="AD55" s="9"/>
      <c r="AE55" s="9"/>
      <c r="AF55" s="9"/>
      <c r="AG55" s="40"/>
      <c r="AH55" s="10" t="str">
        <f aca="false">IF(C55="","",C55&amp;"|"&amp;D55&amp;"|"&amp;E55&amp;"|"&amp;H55&amp;"|"&amp;S55)</f>
        <v/>
      </c>
    </row>
    <row r="56" customFormat="false" ht="15" hidden="false" customHeight="false" outlineLevel="0" collapsed="false">
      <c r="A56" s="10" t="str">
        <f aca="false">IF(C56="","","DRN-"&amp;IFERROR(VLOOKUP(C56,Lists!$A$4:$B$21,2,0),"??")&amp;"-"&amp;TEXT(D56,"0000")&amp;"x"&amp;TEXT(E56,"0000")&amp;"-"&amp;IFERROR(VLOOKUP(H56,Lists!$D$4:$E$18,2,0),"??")&amp;"-"&amp;R56)</f>
        <v/>
      </c>
      <c r="B56" s="10" t="str">
        <f aca="false">IF(C56="","",C56&amp;" "&amp;D56&amp;"W x "&amp;E56&amp;"D, "&amp;H56&amp;", "&amp;I56)</f>
        <v/>
      </c>
      <c r="C56" s="9"/>
      <c r="D56" s="36"/>
      <c r="E56" s="36"/>
      <c r="F56" s="36"/>
      <c r="G56" s="36"/>
      <c r="H56" s="9"/>
      <c r="I56" s="9"/>
      <c r="J56" s="9"/>
      <c r="K56" s="9"/>
      <c r="L56" s="3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37"/>
      <c r="Y56" s="38"/>
      <c r="Z56" s="39"/>
      <c r="AA56" s="39"/>
      <c r="AB56" s="9"/>
      <c r="AC56" s="9"/>
      <c r="AD56" s="9"/>
      <c r="AE56" s="9"/>
      <c r="AF56" s="9"/>
      <c r="AG56" s="40"/>
      <c r="AH56" s="10" t="str">
        <f aca="false">IF(C56="","",C56&amp;"|"&amp;D56&amp;"|"&amp;E56&amp;"|"&amp;H56&amp;"|"&amp;S56)</f>
        <v/>
      </c>
    </row>
    <row r="57" customFormat="false" ht="15" hidden="false" customHeight="false" outlineLevel="0" collapsed="false">
      <c r="A57" s="10" t="str">
        <f aca="false">IF(C57="","","DRN-"&amp;IFERROR(VLOOKUP(C57,Lists!$A$4:$B$21,2,0),"??")&amp;"-"&amp;TEXT(D57,"0000")&amp;"x"&amp;TEXT(E57,"0000")&amp;"-"&amp;IFERROR(VLOOKUP(H57,Lists!$D$4:$E$18,2,0),"??")&amp;"-"&amp;R57)</f>
        <v/>
      </c>
      <c r="B57" s="10" t="str">
        <f aca="false">IF(C57="","",C57&amp;" "&amp;D57&amp;"W x "&amp;E57&amp;"D, "&amp;H57&amp;", "&amp;I57)</f>
        <v/>
      </c>
      <c r="C57" s="9"/>
      <c r="D57" s="36"/>
      <c r="E57" s="36"/>
      <c r="F57" s="36"/>
      <c r="G57" s="36"/>
      <c r="H57" s="9"/>
      <c r="I57" s="9"/>
      <c r="J57" s="9"/>
      <c r="K57" s="9"/>
      <c r="L57" s="3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37"/>
      <c r="Y57" s="38"/>
      <c r="Z57" s="39"/>
      <c r="AA57" s="39"/>
      <c r="AB57" s="9"/>
      <c r="AC57" s="9"/>
      <c r="AD57" s="9"/>
      <c r="AE57" s="9"/>
      <c r="AF57" s="9"/>
      <c r="AG57" s="40"/>
      <c r="AH57" s="10" t="str">
        <f aca="false">IF(C57="","",C57&amp;"|"&amp;D57&amp;"|"&amp;E57&amp;"|"&amp;H57&amp;"|"&amp;S57)</f>
        <v/>
      </c>
    </row>
    <row r="58" customFormat="false" ht="15" hidden="false" customHeight="false" outlineLevel="0" collapsed="false">
      <c r="A58" s="10" t="str">
        <f aca="false">IF(C58="","","DRN-"&amp;IFERROR(VLOOKUP(C58,Lists!$A$4:$B$21,2,0),"??")&amp;"-"&amp;TEXT(D58,"0000")&amp;"x"&amp;TEXT(E58,"0000")&amp;"-"&amp;IFERROR(VLOOKUP(H58,Lists!$D$4:$E$18,2,0),"??")&amp;"-"&amp;R58)</f>
        <v/>
      </c>
      <c r="B58" s="10" t="str">
        <f aca="false">IF(C58="","",C58&amp;" "&amp;D58&amp;"W x "&amp;E58&amp;"D, "&amp;H58&amp;", "&amp;I58)</f>
        <v/>
      </c>
      <c r="C58" s="9"/>
      <c r="D58" s="36"/>
      <c r="E58" s="36"/>
      <c r="F58" s="36"/>
      <c r="G58" s="36"/>
      <c r="H58" s="9"/>
      <c r="I58" s="9"/>
      <c r="J58" s="9"/>
      <c r="K58" s="9"/>
      <c r="L58" s="3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37"/>
      <c r="Y58" s="38"/>
      <c r="Z58" s="39"/>
      <c r="AA58" s="39"/>
      <c r="AB58" s="9"/>
      <c r="AC58" s="9"/>
      <c r="AD58" s="9"/>
      <c r="AE58" s="9"/>
      <c r="AF58" s="9"/>
      <c r="AG58" s="40"/>
      <c r="AH58" s="10" t="str">
        <f aca="false">IF(C58="","",C58&amp;"|"&amp;D58&amp;"|"&amp;E58&amp;"|"&amp;H58&amp;"|"&amp;S58)</f>
        <v/>
      </c>
    </row>
    <row r="59" customFormat="false" ht="15" hidden="false" customHeight="false" outlineLevel="0" collapsed="false">
      <c r="A59" s="10" t="str">
        <f aca="false">IF(C59="","","DRN-"&amp;IFERROR(VLOOKUP(C59,Lists!$A$4:$B$21,2,0),"??")&amp;"-"&amp;TEXT(D59,"0000")&amp;"x"&amp;TEXT(E59,"0000")&amp;"-"&amp;IFERROR(VLOOKUP(H59,Lists!$D$4:$E$18,2,0),"??")&amp;"-"&amp;R59)</f>
        <v/>
      </c>
      <c r="B59" s="10" t="str">
        <f aca="false">IF(C59="","",C59&amp;" "&amp;D59&amp;"W x "&amp;E59&amp;"D, "&amp;H59&amp;", "&amp;I59)</f>
        <v/>
      </c>
      <c r="C59" s="9"/>
      <c r="D59" s="36"/>
      <c r="E59" s="36"/>
      <c r="F59" s="36"/>
      <c r="G59" s="36"/>
      <c r="H59" s="9"/>
      <c r="I59" s="9"/>
      <c r="J59" s="9"/>
      <c r="K59" s="9"/>
      <c r="L59" s="3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37"/>
      <c r="Y59" s="38"/>
      <c r="Z59" s="39"/>
      <c r="AA59" s="39"/>
      <c r="AB59" s="9"/>
      <c r="AC59" s="9"/>
      <c r="AD59" s="9"/>
      <c r="AE59" s="9"/>
      <c r="AF59" s="9"/>
      <c r="AG59" s="40"/>
      <c r="AH59" s="10" t="str">
        <f aca="false">IF(C59="","",C59&amp;"|"&amp;D59&amp;"|"&amp;E59&amp;"|"&amp;H59&amp;"|"&amp;S59)</f>
        <v/>
      </c>
    </row>
    <row r="60" customFormat="false" ht="15" hidden="false" customHeight="false" outlineLevel="0" collapsed="false">
      <c r="A60" s="10" t="str">
        <f aca="false">IF(C60="","","DRN-"&amp;IFERROR(VLOOKUP(C60,Lists!$A$4:$B$21,2,0),"??")&amp;"-"&amp;TEXT(D60,"0000")&amp;"x"&amp;TEXT(E60,"0000")&amp;"-"&amp;IFERROR(VLOOKUP(H60,Lists!$D$4:$E$18,2,0),"??")&amp;"-"&amp;R60)</f>
        <v/>
      </c>
      <c r="B60" s="10" t="str">
        <f aca="false">IF(C60="","",C60&amp;" "&amp;D60&amp;"W x "&amp;E60&amp;"D, "&amp;H60&amp;", "&amp;I60)</f>
        <v/>
      </c>
      <c r="C60" s="9"/>
      <c r="D60" s="36"/>
      <c r="E60" s="36"/>
      <c r="F60" s="36"/>
      <c r="G60" s="36"/>
      <c r="H60" s="9"/>
      <c r="I60" s="9"/>
      <c r="J60" s="9"/>
      <c r="K60" s="9"/>
      <c r="L60" s="3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37"/>
      <c r="Y60" s="38"/>
      <c r="Z60" s="39"/>
      <c r="AA60" s="39"/>
      <c r="AB60" s="9"/>
      <c r="AC60" s="9"/>
      <c r="AD60" s="9"/>
      <c r="AE60" s="9"/>
      <c r="AF60" s="9"/>
      <c r="AG60" s="40"/>
      <c r="AH60" s="10" t="str">
        <f aca="false">IF(C60="","",C60&amp;"|"&amp;D60&amp;"|"&amp;E60&amp;"|"&amp;H60&amp;"|"&amp;S60)</f>
        <v/>
      </c>
    </row>
    <row r="61" customFormat="false" ht="15" hidden="false" customHeight="false" outlineLevel="0" collapsed="false">
      <c r="A61" s="10" t="str">
        <f aca="false">IF(C61="","","DRN-"&amp;IFERROR(VLOOKUP(C61,Lists!$A$4:$B$21,2,0),"??")&amp;"-"&amp;TEXT(D61,"0000")&amp;"x"&amp;TEXT(E61,"0000")&amp;"-"&amp;IFERROR(VLOOKUP(H61,Lists!$D$4:$E$18,2,0),"??")&amp;"-"&amp;R61)</f>
        <v/>
      </c>
      <c r="B61" s="10" t="str">
        <f aca="false">IF(C61="","",C61&amp;" "&amp;D61&amp;"W x "&amp;E61&amp;"D, "&amp;H61&amp;", "&amp;I61)</f>
        <v/>
      </c>
      <c r="C61" s="9"/>
      <c r="D61" s="36"/>
      <c r="E61" s="36"/>
      <c r="F61" s="36"/>
      <c r="G61" s="36"/>
      <c r="H61" s="9"/>
      <c r="I61" s="9"/>
      <c r="J61" s="9"/>
      <c r="K61" s="9"/>
      <c r="L61" s="3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37"/>
      <c r="Y61" s="38"/>
      <c r="Z61" s="39"/>
      <c r="AA61" s="39"/>
      <c r="AB61" s="9"/>
      <c r="AC61" s="9"/>
      <c r="AD61" s="9"/>
      <c r="AE61" s="9"/>
      <c r="AF61" s="9"/>
      <c r="AG61" s="40"/>
      <c r="AH61" s="10" t="str">
        <f aca="false">IF(C61="","",C61&amp;"|"&amp;D61&amp;"|"&amp;E61&amp;"|"&amp;H61&amp;"|"&amp;S61)</f>
        <v/>
      </c>
    </row>
    <row r="62" customFormat="false" ht="15" hidden="false" customHeight="false" outlineLevel="0" collapsed="false">
      <c r="A62" s="10" t="str">
        <f aca="false">IF(C62="","","DRN-"&amp;IFERROR(VLOOKUP(C62,Lists!$A$4:$B$21,2,0),"??")&amp;"-"&amp;TEXT(D62,"0000")&amp;"x"&amp;TEXT(E62,"0000")&amp;"-"&amp;IFERROR(VLOOKUP(H62,Lists!$D$4:$E$18,2,0),"??")&amp;"-"&amp;R62)</f>
        <v/>
      </c>
      <c r="B62" s="10" t="str">
        <f aca="false">IF(C62="","",C62&amp;" "&amp;D62&amp;"W x "&amp;E62&amp;"D, "&amp;H62&amp;", "&amp;I62)</f>
        <v/>
      </c>
      <c r="C62" s="9"/>
      <c r="D62" s="36"/>
      <c r="E62" s="36"/>
      <c r="F62" s="36"/>
      <c r="G62" s="36"/>
      <c r="H62" s="9"/>
      <c r="I62" s="9"/>
      <c r="J62" s="9"/>
      <c r="K62" s="9"/>
      <c r="L62" s="3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37"/>
      <c r="Y62" s="38"/>
      <c r="Z62" s="39"/>
      <c r="AA62" s="39"/>
      <c r="AB62" s="9"/>
      <c r="AC62" s="9"/>
      <c r="AD62" s="9"/>
      <c r="AE62" s="9"/>
      <c r="AF62" s="9"/>
      <c r="AG62" s="40"/>
      <c r="AH62" s="10" t="str">
        <f aca="false">IF(C62="","",C62&amp;"|"&amp;D62&amp;"|"&amp;E62&amp;"|"&amp;H62&amp;"|"&amp;S62)</f>
        <v/>
      </c>
    </row>
    <row r="63" customFormat="false" ht="15" hidden="false" customHeight="false" outlineLevel="0" collapsed="false">
      <c r="A63" s="10" t="str">
        <f aca="false">IF(C63="","","DRN-"&amp;IFERROR(VLOOKUP(C63,Lists!$A$4:$B$21,2,0),"??")&amp;"-"&amp;TEXT(D63,"0000")&amp;"x"&amp;TEXT(E63,"0000")&amp;"-"&amp;IFERROR(VLOOKUP(H63,Lists!$D$4:$E$18,2,0),"??")&amp;"-"&amp;R63)</f>
        <v/>
      </c>
      <c r="B63" s="10" t="str">
        <f aca="false">IF(C63="","",C63&amp;" "&amp;D63&amp;"W x "&amp;E63&amp;"D, "&amp;H63&amp;", "&amp;I63)</f>
        <v/>
      </c>
      <c r="C63" s="9"/>
      <c r="D63" s="36"/>
      <c r="E63" s="36"/>
      <c r="F63" s="36"/>
      <c r="G63" s="36"/>
      <c r="H63" s="9"/>
      <c r="I63" s="9"/>
      <c r="J63" s="9"/>
      <c r="K63" s="9"/>
      <c r="L63" s="3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37"/>
      <c r="Y63" s="38"/>
      <c r="Z63" s="39"/>
      <c r="AA63" s="39"/>
      <c r="AB63" s="9"/>
      <c r="AC63" s="9"/>
      <c r="AD63" s="9"/>
      <c r="AE63" s="9"/>
      <c r="AF63" s="9"/>
      <c r="AG63" s="40"/>
      <c r="AH63" s="10" t="str">
        <f aca="false">IF(C63="","",C63&amp;"|"&amp;D63&amp;"|"&amp;E63&amp;"|"&amp;H63&amp;"|"&amp;S63)</f>
        <v/>
      </c>
    </row>
    <row r="64" customFormat="false" ht="15" hidden="false" customHeight="false" outlineLevel="0" collapsed="false">
      <c r="A64" s="10" t="str">
        <f aca="false">IF(C64="","","DRN-"&amp;IFERROR(VLOOKUP(C64,Lists!$A$4:$B$21,2,0),"??")&amp;"-"&amp;TEXT(D64,"0000")&amp;"x"&amp;TEXT(E64,"0000")&amp;"-"&amp;IFERROR(VLOOKUP(H64,Lists!$D$4:$E$18,2,0),"??")&amp;"-"&amp;R64)</f>
        <v/>
      </c>
      <c r="B64" s="10" t="str">
        <f aca="false">IF(C64="","",C64&amp;" "&amp;D64&amp;"W x "&amp;E64&amp;"D, "&amp;H64&amp;", "&amp;I64)</f>
        <v/>
      </c>
      <c r="C64" s="9"/>
      <c r="D64" s="36"/>
      <c r="E64" s="36"/>
      <c r="F64" s="36"/>
      <c r="G64" s="36"/>
      <c r="H64" s="9"/>
      <c r="I64" s="9"/>
      <c r="J64" s="9"/>
      <c r="K64" s="9"/>
      <c r="L64" s="3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37"/>
      <c r="Y64" s="38"/>
      <c r="Z64" s="39"/>
      <c r="AA64" s="39"/>
      <c r="AB64" s="9"/>
      <c r="AC64" s="9"/>
      <c r="AD64" s="9"/>
      <c r="AE64" s="9"/>
      <c r="AF64" s="9"/>
      <c r="AG64" s="40"/>
      <c r="AH64" s="10" t="str">
        <f aca="false">IF(C64="","",C64&amp;"|"&amp;D64&amp;"|"&amp;E64&amp;"|"&amp;H64&amp;"|"&amp;S64)</f>
        <v/>
      </c>
    </row>
    <row r="65" customFormat="false" ht="15" hidden="false" customHeight="false" outlineLevel="0" collapsed="false">
      <c r="A65" s="10" t="str">
        <f aca="false">IF(C65="","","DRN-"&amp;IFERROR(VLOOKUP(C65,Lists!$A$4:$B$21,2,0),"??")&amp;"-"&amp;TEXT(D65,"0000")&amp;"x"&amp;TEXT(E65,"0000")&amp;"-"&amp;IFERROR(VLOOKUP(H65,Lists!$D$4:$E$18,2,0),"??")&amp;"-"&amp;R65)</f>
        <v/>
      </c>
      <c r="B65" s="10" t="str">
        <f aca="false">IF(C65="","",C65&amp;" "&amp;D65&amp;"W x "&amp;E65&amp;"D, "&amp;H65&amp;", "&amp;I65)</f>
        <v/>
      </c>
      <c r="C65" s="9"/>
      <c r="D65" s="36"/>
      <c r="E65" s="36"/>
      <c r="F65" s="36"/>
      <c r="G65" s="36"/>
      <c r="H65" s="9"/>
      <c r="I65" s="9"/>
      <c r="J65" s="9"/>
      <c r="K65" s="9"/>
      <c r="L65" s="3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37"/>
      <c r="Y65" s="38"/>
      <c r="Z65" s="39"/>
      <c r="AA65" s="39"/>
      <c r="AB65" s="9"/>
      <c r="AC65" s="9"/>
      <c r="AD65" s="9"/>
      <c r="AE65" s="9"/>
      <c r="AF65" s="9"/>
      <c r="AG65" s="40"/>
      <c r="AH65" s="10" t="str">
        <f aca="false">IF(C65="","",C65&amp;"|"&amp;D65&amp;"|"&amp;E65&amp;"|"&amp;H65&amp;"|"&amp;S65)</f>
        <v/>
      </c>
    </row>
    <row r="66" customFormat="false" ht="15" hidden="false" customHeight="false" outlineLevel="0" collapsed="false">
      <c r="A66" s="10" t="str">
        <f aca="false">IF(C66="","","DRN-"&amp;IFERROR(VLOOKUP(C66,Lists!$A$4:$B$21,2,0),"??")&amp;"-"&amp;TEXT(D66,"0000")&amp;"x"&amp;TEXT(E66,"0000")&amp;"-"&amp;IFERROR(VLOOKUP(H66,Lists!$D$4:$E$18,2,0),"??")&amp;"-"&amp;R66)</f>
        <v/>
      </c>
      <c r="B66" s="10" t="str">
        <f aca="false">IF(C66="","",C66&amp;" "&amp;D66&amp;"W x "&amp;E66&amp;"D, "&amp;H66&amp;", "&amp;I66)</f>
        <v/>
      </c>
      <c r="C66" s="9"/>
      <c r="D66" s="36"/>
      <c r="E66" s="36"/>
      <c r="F66" s="36"/>
      <c r="G66" s="36"/>
      <c r="H66" s="9"/>
      <c r="I66" s="9"/>
      <c r="J66" s="9"/>
      <c r="K66" s="9"/>
      <c r="L66" s="3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37"/>
      <c r="Y66" s="38"/>
      <c r="Z66" s="39"/>
      <c r="AA66" s="39"/>
      <c r="AB66" s="9"/>
      <c r="AC66" s="9"/>
      <c r="AD66" s="9"/>
      <c r="AE66" s="9"/>
      <c r="AF66" s="9"/>
      <c r="AG66" s="40"/>
      <c r="AH66" s="10" t="str">
        <f aca="false">IF(C66="","",C66&amp;"|"&amp;D66&amp;"|"&amp;E66&amp;"|"&amp;H66&amp;"|"&amp;S66)</f>
        <v/>
      </c>
    </row>
    <row r="67" customFormat="false" ht="15" hidden="false" customHeight="false" outlineLevel="0" collapsed="false">
      <c r="A67" s="10" t="str">
        <f aca="false">IF(C67="","","DRN-"&amp;IFERROR(VLOOKUP(C67,Lists!$A$4:$B$21,2,0),"??")&amp;"-"&amp;TEXT(D67,"0000")&amp;"x"&amp;TEXT(E67,"0000")&amp;"-"&amp;IFERROR(VLOOKUP(H67,Lists!$D$4:$E$18,2,0),"??")&amp;"-"&amp;R67)</f>
        <v/>
      </c>
      <c r="B67" s="10" t="str">
        <f aca="false">IF(C67="","",C67&amp;" "&amp;D67&amp;"W x "&amp;E67&amp;"D, "&amp;H67&amp;", "&amp;I67)</f>
        <v/>
      </c>
      <c r="C67" s="9"/>
      <c r="D67" s="36"/>
      <c r="E67" s="36"/>
      <c r="F67" s="36"/>
      <c r="G67" s="36"/>
      <c r="H67" s="9"/>
      <c r="I67" s="9"/>
      <c r="J67" s="9"/>
      <c r="K67" s="9"/>
      <c r="L67" s="3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37"/>
      <c r="Y67" s="38"/>
      <c r="Z67" s="39"/>
      <c r="AA67" s="39"/>
      <c r="AB67" s="9"/>
      <c r="AC67" s="9"/>
      <c r="AD67" s="9"/>
      <c r="AE67" s="9"/>
      <c r="AF67" s="9"/>
      <c r="AG67" s="40"/>
      <c r="AH67" s="10" t="str">
        <f aca="false">IF(C67="","",C67&amp;"|"&amp;D67&amp;"|"&amp;E67&amp;"|"&amp;H67&amp;"|"&amp;S67)</f>
        <v/>
      </c>
    </row>
    <row r="68" customFormat="false" ht="15" hidden="false" customHeight="false" outlineLevel="0" collapsed="false">
      <c r="A68" s="10" t="str">
        <f aca="false">IF(C68="","","DRN-"&amp;IFERROR(VLOOKUP(C68,Lists!$A$4:$B$21,2,0),"??")&amp;"-"&amp;TEXT(D68,"0000")&amp;"x"&amp;TEXT(E68,"0000")&amp;"-"&amp;IFERROR(VLOOKUP(H68,Lists!$D$4:$E$18,2,0),"??")&amp;"-"&amp;R68)</f>
        <v/>
      </c>
      <c r="B68" s="10" t="str">
        <f aca="false">IF(C68="","",C68&amp;" "&amp;D68&amp;"W x "&amp;E68&amp;"D, "&amp;H68&amp;", "&amp;I68)</f>
        <v/>
      </c>
      <c r="C68" s="9"/>
      <c r="D68" s="36"/>
      <c r="E68" s="36"/>
      <c r="F68" s="36"/>
      <c r="G68" s="36"/>
      <c r="H68" s="9"/>
      <c r="I68" s="9"/>
      <c r="J68" s="9"/>
      <c r="K68" s="9"/>
      <c r="L68" s="3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37"/>
      <c r="Y68" s="38"/>
      <c r="Z68" s="39"/>
      <c r="AA68" s="39"/>
      <c r="AB68" s="9"/>
      <c r="AC68" s="9"/>
      <c r="AD68" s="9"/>
      <c r="AE68" s="9"/>
      <c r="AF68" s="9"/>
      <c r="AG68" s="40"/>
      <c r="AH68" s="10" t="str">
        <f aca="false">IF(C68="","",C68&amp;"|"&amp;D68&amp;"|"&amp;E68&amp;"|"&amp;H68&amp;"|"&amp;S68)</f>
        <v/>
      </c>
    </row>
    <row r="69" customFormat="false" ht="15" hidden="false" customHeight="false" outlineLevel="0" collapsed="false">
      <c r="A69" s="10" t="str">
        <f aca="false">IF(C69="","","DRN-"&amp;IFERROR(VLOOKUP(C69,Lists!$A$4:$B$21,2,0),"??")&amp;"-"&amp;TEXT(D69,"0000")&amp;"x"&amp;TEXT(E69,"0000")&amp;"-"&amp;IFERROR(VLOOKUP(H69,Lists!$D$4:$E$18,2,0),"??")&amp;"-"&amp;R69)</f>
        <v/>
      </c>
      <c r="B69" s="10" t="str">
        <f aca="false">IF(C69="","",C69&amp;" "&amp;D69&amp;"W x "&amp;E69&amp;"D, "&amp;H69&amp;", "&amp;I69)</f>
        <v/>
      </c>
      <c r="C69" s="9"/>
      <c r="D69" s="36"/>
      <c r="E69" s="36"/>
      <c r="F69" s="36"/>
      <c r="G69" s="36"/>
      <c r="H69" s="9"/>
      <c r="I69" s="9"/>
      <c r="J69" s="9"/>
      <c r="K69" s="9"/>
      <c r="L69" s="3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37"/>
      <c r="Y69" s="38"/>
      <c r="Z69" s="39"/>
      <c r="AA69" s="39"/>
      <c r="AB69" s="9"/>
      <c r="AC69" s="9"/>
      <c r="AD69" s="9"/>
      <c r="AE69" s="9"/>
      <c r="AF69" s="9"/>
      <c r="AG69" s="40"/>
      <c r="AH69" s="10" t="str">
        <f aca="false">IF(C69="","",C69&amp;"|"&amp;D69&amp;"|"&amp;E69&amp;"|"&amp;H69&amp;"|"&amp;S69)</f>
        <v/>
      </c>
    </row>
    <row r="70" customFormat="false" ht="15" hidden="false" customHeight="false" outlineLevel="0" collapsed="false">
      <c r="A70" s="10" t="str">
        <f aca="false">IF(C70="","","DRN-"&amp;IFERROR(VLOOKUP(C70,Lists!$A$4:$B$21,2,0),"??")&amp;"-"&amp;TEXT(D70,"0000")&amp;"x"&amp;TEXT(E70,"0000")&amp;"-"&amp;IFERROR(VLOOKUP(H70,Lists!$D$4:$E$18,2,0),"??")&amp;"-"&amp;R70)</f>
        <v/>
      </c>
      <c r="B70" s="10" t="str">
        <f aca="false">IF(C70="","",C70&amp;" "&amp;D70&amp;"W x "&amp;E70&amp;"D, "&amp;H70&amp;", "&amp;I70)</f>
        <v/>
      </c>
      <c r="C70" s="9"/>
      <c r="D70" s="36"/>
      <c r="E70" s="36"/>
      <c r="F70" s="36"/>
      <c r="G70" s="36"/>
      <c r="H70" s="9"/>
      <c r="I70" s="9"/>
      <c r="J70" s="9"/>
      <c r="K70" s="9"/>
      <c r="L70" s="3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37"/>
      <c r="Y70" s="38"/>
      <c r="Z70" s="39"/>
      <c r="AA70" s="39"/>
      <c r="AB70" s="9"/>
      <c r="AC70" s="9"/>
      <c r="AD70" s="9"/>
      <c r="AE70" s="9"/>
      <c r="AF70" s="9"/>
      <c r="AG70" s="40"/>
      <c r="AH70" s="10" t="str">
        <f aca="false">IF(C70="","",C70&amp;"|"&amp;D70&amp;"|"&amp;E70&amp;"|"&amp;H70&amp;"|"&amp;S70)</f>
        <v/>
      </c>
    </row>
    <row r="71" customFormat="false" ht="15" hidden="false" customHeight="false" outlineLevel="0" collapsed="false">
      <c r="A71" s="10" t="str">
        <f aca="false">IF(C71="","","DRN-"&amp;IFERROR(VLOOKUP(C71,Lists!$A$4:$B$21,2,0),"??")&amp;"-"&amp;TEXT(D71,"0000")&amp;"x"&amp;TEXT(E71,"0000")&amp;"-"&amp;IFERROR(VLOOKUP(H71,Lists!$D$4:$E$18,2,0),"??")&amp;"-"&amp;R71)</f>
        <v/>
      </c>
      <c r="B71" s="10" t="str">
        <f aca="false">IF(C71="","",C71&amp;" "&amp;D71&amp;"W x "&amp;E71&amp;"D, "&amp;H71&amp;", "&amp;I71)</f>
        <v/>
      </c>
      <c r="C71" s="9"/>
      <c r="D71" s="36"/>
      <c r="E71" s="36"/>
      <c r="F71" s="36"/>
      <c r="G71" s="36"/>
      <c r="H71" s="9"/>
      <c r="I71" s="9"/>
      <c r="J71" s="9"/>
      <c r="K71" s="9"/>
      <c r="L71" s="3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37"/>
      <c r="Y71" s="38"/>
      <c r="Z71" s="39"/>
      <c r="AA71" s="39"/>
      <c r="AB71" s="9"/>
      <c r="AC71" s="9"/>
      <c r="AD71" s="9"/>
      <c r="AE71" s="9"/>
      <c r="AF71" s="9"/>
      <c r="AG71" s="40"/>
      <c r="AH71" s="10" t="str">
        <f aca="false">IF(C71="","",C71&amp;"|"&amp;D71&amp;"|"&amp;E71&amp;"|"&amp;H71&amp;"|"&amp;S71)</f>
        <v/>
      </c>
    </row>
    <row r="72" customFormat="false" ht="15" hidden="false" customHeight="false" outlineLevel="0" collapsed="false">
      <c r="A72" s="10" t="str">
        <f aca="false">IF(C72="","","DRN-"&amp;IFERROR(VLOOKUP(C72,Lists!$A$4:$B$21,2,0),"??")&amp;"-"&amp;TEXT(D72,"0000")&amp;"x"&amp;TEXT(E72,"0000")&amp;"-"&amp;IFERROR(VLOOKUP(H72,Lists!$D$4:$E$18,2,0),"??")&amp;"-"&amp;R72)</f>
        <v/>
      </c>
      <c r="B72" s="10" t="str">
        <f aca="false">IF(C72="","",C72&amp;" "&amp;D72&amp;"W x "&amp;E72&amp;"D, "&amp;H72&amp;", "&amp;I72)</f>
        <v/>
      </c>
      <c r="C72" s="9"/>
      <c r="D72" s="36"/>
      <c r="E72" s="36"/>
      <c r="F72" s="36"/>
      <c r="G72" s="36"/>
      <c r="H72" s="9"/>
      <c r="I72" s="9"/>
      <c r="J72" s="9"/>
      <c r="K72" s="9"/>
      <c r="L72" s="3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37"/>
      <c r="Y72" s="38"/>
      <c r="Z72" s="39"/>
      <c r="AA72" s="39"/>
      <c r="AB72" s="9"/>
      <c r="AC72" s="9"/>
      <c r="AD72" s="9"/>
      <c r="AE72" s="9"/>
      <c r="AF72" s="9"/>
      <c r="AG72" s="40"/>
      <c r="AH72" s="10" t="str">
        <f aca="false">IF(C72="","",C72&amp;"|"&amp;D72&amp;"|"&amp;E72&amp;"|"&amp;H72&amp;"|"&amp;S72)</f>
        <v/>
      </c>
    </row>
    <row r="73" customFormat="false" ht="15" hidden="false" customHeight="false" outlineLevel="0" collapsed="false">
      <c r="A73" s="10" t="str">
        <f aca="false">IF(C73="","","DRN-"&amp;IFERROR(VLOOKUP(C73,Lists!$A$4:$B$21,2,0),"??")&amp;"-"&amp;TEXT(D73,"0000")&amp;"x"&amp;TEXT(E73,"0000")&amp;"-"&amp;IFERROR(VLOOKUP(H73,Lists!$D$4:$E$18,2,0),"??")&amp;"-"&amp;R73)</f>
        <v/>
      </c>
      <c r="B73" s="10" t="str">
        <f aca="false">IF(C73="","",C73&amp;" "&amp;D73&amp;"W x "&amp;E73&amp;"D, "&amp;H73&amp;", "&amp;I73)</f>
        <v/>
      </c>
      <c r="C73" s="9"/>
      <c r="D73" s="36"/>
      <c r="E73" s="36"/>
      <c r="F73" s="36"/>
      <c r="G73" s="36"/>
      <c r="H73" s="9"/>
      <c r="I73" s="9"/>
      <c r="J73" s="9"/>
      <c r="K73" s="9"/>
      <c r="L73" s="3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37"/>
      <c r="Y73" s="38"/>
      <c r="Z73" s="39"/>
      <c r="AA73" s="39"/>
      <c r="AB73" s="9"/>
      <c r="AC73" s="9"/>
      <c r="AD73" s="9"/>
      <c r="AE73" s="9"/>
      <c r="AF73" s="9"/>
      <c r="AG73" s="40"/>
      <c r="AH73" s="10" t="str">
        <f aca="false">IF(C73="","",C73&amp;"|"&amp;D73&amp;"|"&amp;E73&amp;"|"&amp;H73&amp;"|"&amp;S73)</f>
        <v/>
      </c>
    </row>
    <row r="74" customFormat="false" ht="15" hidden="false" customHeight="false" outlineLevel="0" collapsed="false">
      <c r="A74" s="10" t="str">
        <f aca="false">IF(C74="","","DRN-"&amp;IFERROR(VLOOKUP(C74,Lists!$A$4:$B$21,2,0),"??")&amp;"-"&amp;TEXT(D74,"0000")&amp;"x"&amp;TEXT(E74,"0000")&amp;"-"&amp;IFERROR(VLOOKUP(H74,Lists!$D$4:$E$18,2,0),"??")&amp;"-"&amp;R74)</f>
        <v/>
      </c>
      <c r="B74" s="10" t="str">
        <f aca="false">IF(C74="","",C74&amp;" "&amp;D74&amp;"W x "&amp;E74&amp;"D, "&amp;H74&amp;", "&amp;I74)</f>
        <v/>
      </c>
      <c r="C74" s="9"/>
      <c r="D74" s="36"/>
      <c r="E74" s="36"/>
      <c r="F74" s="36"/>
      <c r="G74" s="36"/>
      <c r="H74" s="9"/>
      <c r="I74" s="9"/>
      <c r="J74" s="9"/>
      <c r="K74" s="9"/>
      <c r="L74" s="3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37"/>
      <c r="Y74" s="38"/>
      <c r="Z74" s="39"/>
      <c r="AA74" s="39"/>
      <c r="AB74" s="9"/>
      <c r="AC74" s="9"/>
      <c r="AD74" s="9"/>
      <c r="AE74" s="9"/>
      <c r="AF74" s="9"/>
      <c r="AG74" s="40"/>
      <c r="AH74" s="10" t="str">
        <f aca="false">IF(C74="","",C74&amp;"|"&amp;D74&amp;"|"&amp;E74&amp;"|"&amp;H74&amp;"|"&amp;S74)</f>
        <v/>
      </c>
    </row>
    <row r="75" customFormat="false" ht="15" hidden="false" customHeight="false" outlineLevel="0" collapsed="false">
      <c r="A75" s="10" t="str">
        <f aca="false">IF(C75="","","DRN-"&amp;IFERROR(VLOOKUP(C75,Lists!$A$4:$B$21,2,0),"??")&amp;"-"&amp;TEXT(D75,"0000")&amp;"x"&amp;TEXT(E75,"0000")&amp;"-"&amp;IFERROR(VLOOKUP(H75,Lists!$D$4:$E$18,2,0),"??")&amp;"-"&amp;R75)</f>
        <v/>
      </c>
      <c r="B75" s="10" t="str">
        <f aca="false">IF(C75="","",C75&amp;" "&amp;D75&amp;"W x "&amp;E75&amp;"D, "&amp;H75&amp;", "&amp;I75)</f>
        <v/>
      </c>
      <c r="C75" s="9"/>
      <c r="D75" s="36"/>
      <c r="E75" s="36"/>
      <c r="F75" s="36"/>
      <c r="G75" s="36"/>
      <c r="H75" s="9"/>
      <c r="I75" s="9"/>
      <c r="J75" s="9"/>
      <c r="K75" s="9"/>
      <c r="L75" s="3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37"/>
      <c r="Y75" s="38"/>
      <c r="Z75" s="39"/>
      <c r="AA75" s="39"/>
      <c r="AB75" s="9"/>
      <c r="AC75" s="9"/>
      <c r="AD75" s="9"/>
      <c r="AE75" s="9"/>
      <c r="AF75" s="9"/>
      <c r="AG75" s="40"/>
      <c r="AH75" s="10" t="str">
        <f aca="false">IF(C75="","",C75&amp;"|"&amp;D75&amp;"|"&amp;E75&amp;"|"&amp;H75&amp;"|"&amp;S75)</f>
        <v/>
      </c>
    </row>
    <row r="76" customFormat="false" ht="15" hidden="false" customHeight="false" outlineLevel="0" collapsed="false">
      <c r="A76" s="10" t="str">
        <f aca="false">IF(C76="","","DRN-"&amp;IFERROR(VLOOKUP(C76,Lists!$A$4:$B$21,2,0),"??")&amp;"-"&amp;TEXT(D76,"0000")&amp;"x"&amp;TEXT(E76,"0000")&amp;"-"&amp;IFERROR(VLOOKUP(H76,Lists!$D$4:$E$18,2,0),"??")&amp;"-"&amp;R76)</f>
        <v/>
      </c>
      <c r="B76" s="10" t="str">
        <f aca="false">IF(C76="","",C76&amp;" "&amp;D76&amp;"W x "&amp;E76&amp;"D, "&amp;H76&amp;", "&amp;I76)</f>
        <v/>
      </c>
      <c r="C76" s="9"/>
      <c r="D76" s="36"/>
      <c r="E76" s="36"/>
      <c r="F76" s="36"/>
      <c r="G76" s="36"/>
      <c r="H76" s="9"/>
      <c r="I76" s="9"/>
      <c r="J76" s="9"/>
      <c r="K76" s="9"/>
      <c r="L76" s="3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37"/>
      <c r="Y76" s="38"/>
      <c r="Z76" s="39"/>
      <c r="AA76" s="39"/>
      <c r="AB76" s="9"/>
      <c r="AC76" s="9"/>
      <c r="AD76" s="9"/>
      <c r="AE76" s="9"/>
      <c r="AF76" s="9"/>
      <c r="AG76" s="40"/>
      <c r="AH76" s="10" t="str">
        <f aca="false">IF(C76="","",C76&amp;"|"&amp;D76&amp;"|"&amp;E76&amp;"|"&amp;H76&amp;"|"&amp;S76)</f>
        <v/>
      </c>
    </row>
    <row r="77" customFormat="false" ht="15" hidden="false" customHeight="false" outlineLevel="0" collapsed="false">
      <c r="A77" s="10" t="str">
        <f aca="false">IF(C77="","","DRN-"&amp;IFERROR(VLOOKUP(C77,Lists!$A$4:$B$21,2,0),"??")&amp;"-"&amp;TEXT(D77,"0000")&amp;"x"&amp;TEXT(E77,"0000")&amp;"-"&amp;IFERROR(VLOOKUP(H77,Lists!$D$4:$E$18,2,0),"??")&amp;"-"&amp;R77)</f>
        <v/>
      </c>
      <c r="B77" s="10" t="str">
        <f aca="false">IF(C77="","",C77&amp;" "&amp;D77&amp;"W x "&amp;E77&amp;"D, "&amp;H77&amp;", "&amp;I77)</f>
        <v/>
      </c>
      <c r="C77" s="9"/>
      <c r="D77" s="36"/>
      <c r="E77" s="36"/>
      <c r="F77" s="36"/>
      <c r="G77" s="36"/>
      <c r="H77" s="9"/>
      <c r="I77" s="9"/>
      <c r="J77" s="9"/>
      <c r="K77" s="9"/>
      <c r="L77" s="3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37"/>
      <c r="Y77" s="38"/>
      <c r="Z77" s="39"/>
      <c r="AA77" s="39"/>
      <c r="AB77" s="9"/>
      <c r="AC77" s="9"/>
      <c r="AD77" s="9"/>
      <c r="AE77" s="9"/>
      <c r="AF77" s="9"/>
      <c r="AG77" s="40"/>
      <c r="AH77" s="10" t="str">
        <f aca="false">IF(C77="","",C77&amp;"|"&amp;D77&amp;"|"&amp;E77&amp;"|"&amp;H77&amp;"|"&amp;S77)</f>
        <v/>
      </c>
    </row>
    <row r="78" customFormat="false" ht="15" hidden="false" customHeight="false" outlineLevel="0" collapsed="false">
      <c r="A78" s="10" t="str">
        <f aca="false">IF(C78="","","DRN-"&amp;IFERROR(VLOOKUP(C78,Lists!$A$4:$B$21,2,0),"??")&amp;"-"&amp;TEXT(D78,"0000")&amp;"x"&amp;TEXT(E78,"0000")&amp;"-"&amp;IFERROR(VLOOKUP(H78,Lists!$D$4:$E$18,2,0),"??")&amp;"-"&amp;R78)</f>
        <v/>
      </c>
      <c r="B78" s="10" t="str">
        <f aca="false">IF(C78="","",C78&amp;" "&amp;D78&amp;"W x "&amp;E78&amp;"D, "&amp;H78&amp;", "&amp;I78)</f>
        <v/>
      </c>
      <c r="C78" s="9"/>
      <c r="D78" s="36"/>
      <c r="E78" s="36"/>
      <c r="F78" s="36"/>
      <c r="G78" s="36"/>
      <c r="H78" s="9"/>
      <c r="I78" s="9"/>
      <c r="J78" s="9"/>
      <c r="K78" s="9"/>
      <c r="L78" s="3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37"/>
      <c r="Y78" s="38"/>
      <c r="Z78" s="39"/>
      <c r="AA78" s="39"/>
      <c r="AB78" s="9"/>
      <c r="AC78" s="9"/>
      <c r="AD78" s="9"/>
      <c r="AE78" s="9"/>
      <c r="AF78" s="9"/>
      <c r="AG78" s="40"/>
      <c r="AH78" s="10" t="str">
        <f aca="false">IF(C78="","",C78&amp;"|"&amp;D78&amp;"|"&amp;E78&amp;"|"&amp;H78&amp;"|"&amp;S78)</f>
        <v/>
      </c>
    </row>
    <row r="79" customFormat="false" ht="15" hidden="false" customHeight="false" outlineLevel="0" collapsed="false">
      <c r="A79" s="10" t="str">
        <f aca="false">IF(C79="","","DRN-"&amp;IFERROR(VLOOKUP(C79,Lists!$A$4:$B$21,2,0),"??")&amp;"-"&amp;TEXT(D79,"0000")&amp;"x"&amp;TEXT(E79,"0000")&amp;"-"&amp;IFERROR(VLOOKUP(H79,Lists!$D$4:$E$18,2,0),"??")&amp;"-"&amp;R79)</f>
        <v/>
      </c>
      <c r="B79" s="10" t="str">
        <f aca="false">IF(C79="","",C79&amp;" "&amp;D79&amp;"W x "&amp;E79&amp;"D, "&amp;H79&amp;", "&amp;I79)</f>
        <v/>
      </c>
      <c r="C79" s="9"/>
      <c r="D79" s="36"/>
      <c r="E79" s="36"/>
      <c r="F79" s="36"/>
      <c r="G79" s="36"/>
      <c r="H79" s="9"/>
      <c r="I79" s="9"/>
      <c r="J79" s="9"/>
      <c r="K79" s="9"/>
      <c r="L79" s="3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37"/>
      <c r="Y79" s="38"/>
      <c r="Z79" s="39"/>
      <c r="AA79" s="39"/>
      <c r="AB79" s="9"/>
      <c r="AC79" s="9"/>
      <c r="AD79" s="9"/>
      <c r="AE79" s="9"/>
      <c r="AF79" s="9"/>
      <c r="AG79" s="40"/>
      <c r="AH79" s="10" t="str">
        <f aca="false">IF(C79="","",C79&amp;"|"&amp;D79&amp;"|"&amp;E79&amp;"|"&amp;H79&amp;"|"&amp;S79)</f>
        <v/>
      </c>
    </row>
    <row r="80" customFormat="false" ht="15" hidden="false" customHeight="false" outlineLevel="0" collapsed="false">
      <c r="A80" s="10" t="str">
        <f aca="false">IF(C80="","","DRN-"&amp;IFERROR(VLOOKUP(C80,Lists!$A$4:$B$21,2,0),"??")&amp;"-"&amp;TEXT(D80,"0000")&amp;"x"&amp;TEXT(E80,"0000")&amp;"-"&amp;IFERROR(VLOOKUP(H80,Lists!$D$4:$E$18,2,0),"??")&amp;"-"&amp;R80)</f>
        <v/>
      </c>
      <c r="B80" s="10" t="str">
        <f aca="false">IF(C80="","",C80&amp;" "&amp;D80&amp;"W x "&amp;E80&amp;"D, "&amp;H80&amp;", "&amp;I80)</f>
        <v/>
      </c>
      <c r="C80" s="9"/>
      <c r="D80" s="36"/>
      <c r="E80" s="36"/>
      <c r="F80" s="36"/>
      <c r="G80" s="36"/>
      <c r="H80" s="9"/>
      <c r="I80" s="9"/>
      <c r="J80" s="9"/>
      <c r="K80" s="9"/>
      <c r="L80" s="3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37"/>
      <c r="Y80" s="38"/>
      <c r="Z80" s="39"/>
      <c r="AA80" s="39"/>
      <c r="AB80" s="9"/>
      <c r="AC80" s="9"/>
      <c r="AD80" s="9"/>
      <c r="AE80" s="9"/>
      <c r="AF80" s="9"/>
      <c r="AG80" s="40"/>
      <c r="AH80" s="10" t="str">
        <f aca="false">IF(C80="","",C80&amp;"|"&amp;D80&amp;"|"&amp;E80&amp;"|"&amp;H80&amp;"|"&amp;S80)</f>
        <v/>
      </c>
    </row>
    <row r="81" customFormat="false" ht="15" hidden="false" customHeight="false" outlineLevel="0" collapsed="false">
      <c r="A81" s="10" t="str">
        <f aca="false">IF(C81="","","DRN-"&amp;IFERROR(VLOOKUP(C81,Lists!$A$4:$B$21,2,0),"??")&amp;"-"&amp;TEXT(D81,"0000")&amp;"x"&amp;TEXT(E81,"0000")&amp;"-"&amp;IFERROR(VLOOKUP(H81,Lists!$D$4:$E$18,2,0),"??")&amp;"-"&amp;R81)</f>
        <v/>
      </c>
      <c r="B81" s="10" t="str">
        <f aca="false">IF(C81="","",C81&amp;" "&amp;D81&amp;"W x "&amp;E81&amp;"D, "&amp;H81&amp;", "&amp;I81)</f>
        <v/>
      </c>
      <c r="C81" s="9"/>
      <c r="D81" s="36"/>
      <c r="E81" s="36"/>
      <c r="F81" s="36"/>
      <c r="G81" s="36"/>
      <c r="H81" s="9"/>
      <c r="I81" s="9"/>
      <c r="J81" s="9"/>
      <c r="K81" s="9"/>
      <c r="L81" s="3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37"/>
      <c r="Y81" s="38"/>
      <c r="Z81" s="39"/>
      <c r="AA81" s="39"/>
      <c r="AB81" s="9"/>
      <c r="AC81" s="9"/>
      <c r="AD81" s="9"/>
      <c r="AE81" s="9"/>
      <c r="AF81" s="9"/>
      <c r="AG81" s="40"/>
      <c r="AH81" s="10" t="str">
        <f aca="false">IF(C81="","",C81&amp;"|"&amp;D81&amp;"|"&amp;E81&amp;"|"&amp;H81&amp;"|"&amp;S81)</f>
        <v/>
      </c>
    </row>
    <row r="82" customFormat="false" ht="15" hidden="false" customHeight="false" outlineLevel="0" collapsed="false">
      <c r="A82" s="10" t="str">
        <f aca="false">IF(C82="","","DRN-"&amp;IFERROR(VLOOKUP(C82,Lists!$A$4:$B$21,2,0),"??")&amp;"-"&amp;TEXT(D82,"0000")&amp;"x"&amp;TEXT(E82,"0000")&amp;"-"&amp;IFERROR(VLOOKUP(H82,Lists!$D$4:$E$18,2,0),"??")&amp;"-"&amp;R82)</f>
        <v/>
      </c>
      <c r="B82" s="10" t="str">
        <f aca="false">IF(C82="","",C82&amp;" "&amp;D82&amp;"W x "&amp;E82&amp;"D, "&amp;H82&amp;", "&amp;I82)</f>
        <v/>
      </c>
      <c r="C82" s="9"/>
      <c r="D82" s="36"/>
      <c r="E82" s="36"/>
      <c r="F82" s="36"/>
      <c r="G82" s="36"/>
      <c r="H82" s="9"/>
      <c r="I82" s="9"/>
      <c r="J82" s="9"/>
      <c r="K82" s="9"/>
      <c r="L82" s="3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37"/>
      <c r="Y82" s="38"/>
      <c r="Z82" s="39"/>
      <c r="AA82" s="39"/>
      <c r="AB82" s="9"/>
      <c r="AC82" s="9"/>
      <c r="AD82" s="9"/>
      <c r="AE82" s="9"/>
      <c r="AF82" s="9"/>
      <c r="AG82" s="40"/>
      <c r="AH82" s="10" t="str">
        <f aca="false">IF(C82="","",C82&amp;"|"&amp;D82&amp;"|"&amp;E82&amp;"|"&amp;H82&amp;"|"&amp;S82)</f>
        <v/>
      </c>
    </row>
    <row r="83" customFormat="false" ht="15" hidden="false" customHeight="false" outlineLevel="0" collapsed="false">
      <c r="A83" s="10" t="str">
        <f aca="false">IF(C83="","","DRN-"&amp;IFERROR(VLOOKUP(C83,Lists!$A$4:$B$21,2,0),"??")&amp;"-"&amp;TEXT(D83,"0000")&amp;"x"&amp;TEXT(E83,"0000")&amp;"-"&amp;IFERROR(VLOOKUP(H83,Lists!$D$4:$E$18,2,0),"??")&amp;"-"&amp;R83)</f>
        <v/>
      </c>
      <c r="B83" s="10" t="str">
        <f aca="false">IF(C83="","",C83&amp;" "&amp;D83&amp;"W x "&amp;E83&amp;"D, "&amp;H83&amp;", "&amp;I83)</f>
        <v/>
      </c>
      <c r="C83" s="9"/>
      <c r="D83" s="36"/>
      <c r="E83" s="36"/>
      <c r="F83" s="36"/>
      <c r="G83" s="36"/>
      <c r="H83" s="9"/>
      <c r="I83" s="9"/>
      <c r="J83" s="9"/>
      <c r="K83" s="9"/>
      <c r="L83" s="3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37"/>
      <c r="Y83" s="38"/>
      <c r="Z83" s="39"/>
      <c r="AA83" s="39"/>
      <c r="AB83" s="9"/>
      <c r="AC83" s="9"/>
      <c r="AD83" s="9"/>
      <c r="AE83" s="9"/>
      <c r="AF83" s="9"/>
      <c r="AG83" s="40"/>
      <c r="AH83" s="10" t="str">
        <f aca="false">IF(C83="","",C83&amp;"|"&amp;D83&amp;"|"&amp;E83&amp;"|"&amp;H83&amp;"|"&amp;S83)</f>
        <v/>
      </c>
    </row>
    <row r="84" customFormat="false" ht="15" hidden="false" customHeight="false" outlineLevel="0" collapsed="false">
      <c r="A84" s="10" t="str">
        <f aca="false">IF(C84="","","DRN-"&amp;IFERROR(VLOOKUP(C84,Lists!$A$4:$B$21,2,0),"??")&amp;"-"&amp;TEXT(D84,"0000")&amp;"x"&amp;TEXT(E84,"0000")&amp;"-"&amp;IFERROR(VLOOKUP(H84,Lists!$D$4:$E$18,2,0),"??")&amp;"-"&amp;R84)</f>
        <v/>
      </c>
      <c r="B84" s="10" t="str">
        <f aca="false">IF(C84="","",C84&amp;" "&amp;D84&amp;"W x "&amp;E84&amp;"D, "&amp;H84&amp;", "&amp;I84)</f>
        <v/>
      </c>
      <c r="C84" s="9"/>
      <c r="D84" s="36"/>
      <c r="E84" s="36"/>
      <c r="F84" s="36"/>
      <c r="G84" s="36"/>
      <c r="H84" s="9"/>
      <c r="I84" s="9"/>
      <c r="J84" s="9"/>
      <c r="K84" s="9"/>
      <c r="L84" s="36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37"/>
      <c r="Y84" s="38"/>
      <c r="Z84" s="39"/>
      <c r="AA84" s="39"/>
      <c r="AB84" s="9"/>
      <c r="AC84" s="9"/>
      <c r="AD84" s="9"/>
      <c r="AE84" s="9"/>
      <c r="AF84" s="9"/>
      <c r="AG84" s="40"/>
      <c r="AH84" s="10" t="str">
        <f aca="false">IF(C84="","",C84&amp;"|"&amp;D84&amp;"|"&amp;E84&amp;"|"&amp;H84&amp;"|"&amp;S84)</f>
        <v/>
      </c>
    </row>
    <row r="85" customFormat="false" ht="15" hidden="false" customHeight="false" outlineLevel="0" collapsed="false">
      <c r="A85" s="10" t="str">
        <f aca="false">IF(C85="","","DRN-"&amp;IFERROR(VLOOKUP(C85,Lists!$A$4:$B$21,2,0),"??")&amp;"-"&amp;TEXT(D85,"0000")&amp;"x"&amp;TEXT(E85,"0000")&amp;"-"&amp;IFERROR(VLOOKUP(H85,Lists!$D$4:$E$18,2,0),"??")&amp;"-"&amp;R85)</f>
        <v/>
      </c>
      <c r="B85" s="10" t="str">
        <f aca="false">IF(C85="","",C85&amp;" "&amp;D85&amp;"W x "&amp;E85&amp;"D, "&amp;H85&amp;", "&amp;I85)</f>
        <v/>
      </c>
      <c r="C85" s="9"/>
      <c r="D85" s="36"/>
      <c r="E85" s="36"/>
      <c r="F85" s="36"/>
      <c r="G85" s="36"/>
      <c r="H85" s="9"/>
      <c r="I85" s="9"/>
      <c r="J85" s="9"/>
      <c r="K85" s="9"/>
      <c r="L85" s="3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37"/>
      <c r="Y85" s="38"/>
      <c r="Z85" s="39"/>
      <c r="AA85" s="39"/>
      <c r="AB85" s="9"/>
      <c r="AC85" s="9"/>
      <c r="AD85" s="9"/>
      <c r="AE85" s="9"/>
      <c r="AF85" s="9"/>
      <c r="AG85" s="40"/>
      <c r="AH85" s="10" t="str">
        <f aca="false">IF(C85="","",C85&amp;"|"&amp;D85&amp;"|"&amp;E85&amp;"|"&amp;H85&amp;"|"&amp;S85)</f>
        <v/>
      </c>
    </row>
    <row r="86" customFormat="false" ht="15" hidden="false" customHeight="false" outlineLevel="0" collapsed="false">
      <c r="A86" s="10" t="str">
        <f aca="false">IF(C86="","","DRN-"&amp;IFERROR(VLOOKUP(C86,Lists!$A$4:$B$21,2,0),"??")&amp;"-"&amp;TEXT(D86,"0000")&amp;"x"&amp;TEXT(E86,"0000")&amp;"-"&amp;IFERROR(VLOOKUP(H86,Lists!$D$4:$E$18,2,0),"??")&amp;"-"&amp;R86)</f>
        <v/>
      </c>
      <c r="B86" s="10" t="str">
        <f aca="false">IF(C86="","",C86&amp;" "&amp;D86&amp;"W x "&amp;E86&amp;"D, "&amp;H86&amp;", "&amp;I86)</f>
        <v/>
      </c>
      <c r="C86" s="9"/>
      <c r="D86" s="36"/>
      <c r="E86" s="36"/>
      <c r="F86" s="36"/>
      <c r="G86" s="36"/>
      <c r="H86" s="9"/>
      <c r="I86" s="9"/>
      <c r="J86" s="9"/>
      <c r="K86" s="9"/>
      <c r="L86" s="3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37"/>
      <c r="Y86" s="38"/>
      <c r="Z86" s="39"/>
      <c r="AA86" s="39"/>
      <c r="AB86" s="9"/>
      <c r="AC86" s="9"/>
      <c r="AD86" s="9"/>
      <c r="AE86" s="9"/>
      <c r="AF86" s="9"/>
      <c r="AG86" s="40"/>
      <c r="AH86" s="10" t="str">
        <f aca="false">IF(C86="","",C86&amp;"|"&amp;D86&amp;"|"&amp;E86&amp;"|"&amp;H86&amp;"|"&amp;S86)</f>
        <v/>
      </c>
    </row>
    <row r="87" customFormat="false" ht="15" hidden="false" customHeight="false" outlineLevel="0" collapsed="false">
      <c r="A87" s="10" t="str">
        <f aca="false">IF(C87="","","DRN-"&amp;IFERROR(VLOOKUP(C87,Lists!$A$4:$B$21,2,0),"??")&amp;"-"&amp;TEXT(D87,"0000")&amp;"x"&amp;TEXT(E87,"0000")&amp;"-"&amp;IFERROR(VLOOKUP(H87,Lists!$D$4:$E$18,2,0),"??")&amp;"-"&amp;R87)</f>
        <v/>
      </c>
      <c r="B87" s="10" t="str">
        <f aca="false">IF(C87="","",C87&amp;" "&amp;D87&amp;"W x "&amp;E87&amp;"D, "&amp;H87&amp;", "&amp;I87)</f>
        <v/>
      </c>
      <c r="C87" s="9"/>
      <c r="D87" s="36"/>
      <c r="E87" s="36"/>
      <c r="F87" s="36"/>
      <c r="G87" s="36"/>
      <c r="H87" s="9"/>
      <c r="I87" s="9"/>
      <c r="J87" s="9"/>
      <c r="K87" s="9"/>
      <c r="L87" s="3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37"/>
      <c r="Y87" s="38"/>
      <c r="Z87" s="39"/>
      <c r="AA87" s="39"/>
      <c r="AB87" s="9"/>
      <c r="AC87" s="9"/>
      <c r="AD87" s="9"/>
      <c r="AE87" s="9"/>
      <c r="AF87" s="9"/>
      <c r="AG87" s="40"/>
      <c r="AH87" s="10" t="str">
        <f aca="false">IF(C87="","",C87&amp;"|"&amp;D87&amp;"|"&amp;E87&amp;"|"&amp;H87&amp;"|"&amp;S87)</f>
        <v/>
      </c>
    </row>
    <row r="88" customFormat="false" ht="15" hidden="false" customHeight="false" outlineLevel="0" collapsed="false">
      <c r="A88" s="10" t="str">
        <f aca="false">IF(C88="","","DRN-"&amp;IFERROR(VLOOKUP(C88,Lists!$A$4:$B$21,2,0),"??")&amp;"-"&amp;TEXT(D88,"0000")&amp;"x"&amp;TEXT(E88,"0000")&amp;"-"&amp;IFERROR(VLOOKUP(H88,Lists!$D$4:$E$18,2,0),"??")&amp;"-"&amp;R88)</f>
        <v/>
      </c>
      <c r="B88" s="10" t="str">
        <f aca="false">IF(C88="","",C88&amp;" "&amp;D88&amp;"W x "&amp;E88&amp;"D, "&amp;H88&amp;", "&amp;I88)</f>
        <v/>
      </c>
      <c r="C88" s="9"/>
      <c r="D88" s="36"/>
      <c r="E88" s="36"/>
      <c r="F88" s="36"/>
      <c r="G88" s="36"/>
      <c r="H88" s="9"/>
      <c r="I88" s="9"/>
      <c r="J88" s="9"/>
      <c r="K88" s="9"/>
      <c r="L88" s="3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37"/>
      <c r="Y88" s="38"/>
      <c r="Z88" s="39"/>
      <c r="AA88" s="39"/>
      <c r="AB88" s="9"/>
      <c r="AC88" s="9"/>
      <c r="AD88" s="9"/>
      <c r="AE88" s="9"/>
      <c r="AF88" s="9"/>
      <c r="AG88" s="40"/>
      <c r="AH88" s="10" t="str">
        <f aca="false">IF(C88="","",C88&amp;"|"&amp;D88&amp;"|"&amp;E88&amp;"|"&amp;H88&amp;"|"&amp;S88)</f>
        <v/>
      </c>
    </row>
    <row r="89" customFormat="false" ht="15" hidden="false" customHeight="false" outlineLevel="0" collapsed="false">
      <c r="A89" s="10" t="str">
        <f aca="false">IF(C89="","","DRN-"&amp;IFERROR(VLOOKUP(C89,Lists!$A$4:$B$21,2,0),"??")&amp;"-"&amp;TEXT(D89,"0000")&amp;"x"&amp;TEXT(E89,"0000")&amp;"-"&amp;IFERROR(VLOOKUP(H89,Lists!$D$4:$E$18,2,0),"??")&amp;"-"&amp;R89)</f>
        <v/>
      </c>
      <c r="B89" s="10" t="str">
        <f aca="false">IF(C89="","",C89&amp;" "&amp;D89&amp;"W x "&amp;E89&amp;"D, "&amp;H89&amp;", "&amp;I89)</f>
        <v/>
      </c>
      <c r="C89" s="9"/>
      <c r="D89" s="36"/>
      <c r="E89" s="36"/>
      <c r="F89" s="36"/>
      <c r="G89" s="36"/>
      <c r="H89" s="9"/>
      <c r="I89" s="9"/>
      <c r="J89" s="9"/>
      <c r="K89" s="9"/>
      <c r="L89" s="3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37"/>
      <c r="Y89" s="38"/>
      <c r="Z89" s="39"/>
      <c r="AA89" s="39"/>
      <c r="AB89" s="9"/>
      <c r="AC89" s="9"/>
      <c r="AD89" s="9"/>
      <c r="AE89" s="9"/>
      <c r="AF89" s="9"/>
      <c r="AG89" s="40"/>
      <c r="AH89" s="10" t="str">
        <f aca="false">IF(C89="","",C89&amp;"|"&amp;D89&amp;"|"&amp;E89&amp;"|"&amp;H89&amp;"|"&amp;S89)</f>
        <v/>
      </c>
    </row>
    <row r="90" customFormat="false" ht="15" hidden="false" customHeight="false" outlineLevel="0" collapsed="false">
      <c r="A90" s="10" t="str">
        <f aca="false">IF(C90="","","DRN-"&amp;IFERROR(VLOOKUP(C90,Lists!$A$4:$B$21,2,0),"??")&amp;"-"&amp;TEXT(D90,"0000")&amp;"x"&amp;TEXT(E90,"0000")&amp;"-"&amp;IFERROR(VLOOKUP(H90,Lists!$D$4:$E$18,2,0),"??")&amp;"-"&amp;R90)</f>
        <v/>
      </c>
      <c r="B90" s="10" t="str">
        <f aca="false">IF(C90="","",C90&amp;" "&amp;D90&amp;"W x "&amp;E90&amp;"D, "&amp;H90&amp;", "&amp;I90)</f>
        <v/>
      </c>
      <c r="C90" s="9"/>
      <c r="D90" s="36"/>
      <c r="E90" s="36"/>
      <c r="F90" s="36"/>
      <c r="G90" s="36"/>
      <c r="H90" s="9"/>
      <c r="I90" s="9"/>
      <c r="J90" s="9"/>
      <c r="K90" s="9"/>
      <c r="L90" s="3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37"/>
      <c r="Y90" s="38"/>
      <c r="Z90" s="39"/>
      <c r="AA90" s="39"/>
      <c r="AB90" s="9"/>
      <c r="AC90" s="9"/>
      <c r="AD90" s="9"/>
      <c r="AE90" s="9"/>
      <c r="AF90" s="9"/>
      <c r="AG90" s="40"/>
      <c r="AH90" s="10" t="str">
        <f aca="false">IF(C90="","",C90&amp;"|"&amp;D90&amp;"|"&amp;E90&amp;"|"&amp;H90&amp;"|"&amp;S90)</f>
        <v/>
      </c>
    </row>
    <row r="91" customFormat="false" ht="15" hidden="false" customHeight="false" outlineLevel="0" collapsed="false">
      <c r="A91" s="10" t="str">
        <f aca="false">IF(C91="","","DRN-"&amp;IFERROR(VLOOKUP(C91,Lists!$A$4:$B$21,2,0),"??")&amp;"-"&amp;TEXT(D91,"0000")&amp;"x"&amp;TEXT(E91,"0000")&amp;"-"&amp;IFERROR(VLOOKUP(H91,Lists!$D$4:$E$18,2,0),"??")&amp;"-"&amp;R91)</f>
        <v/>
      </c>
      <c r="B91" s="10" t="str">
        <f aca="false">IF(C91="","",C91&amp;" "&amp;D91&amp;"W x "&amp;E91&amp;"D, "&amp;H91&amp;", "&amp;I91)</f>
        <v/>
      </c>
      <c r="C91" s="9"/>
      <c r="D91" s="36"/>
      <c r="E91" s="36"/>
      <c r="F91" s="36"/>
      <c r="G91" s="36"/>
      <c r="H91" s="9"/>
      <c r="I91" s="9"/>
      <c r="J91" s="9"/>
      <c r="K91" s="9"/>
      <c r="L91" s="3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37"/>
      <c r="Y91" s="38"/>
      <c r="Z91" s="39"/>
      <c r="AA91" s="39"/>
      <c r="AB91" s="9"/>
      <c r="AC91" s="9"/>
      <c r="AD91" s="9"/>
      <c r="AE91" s="9"/>
      <c r="AF91" s="9"/>
      <c r="AG91" s="40"/>
      <c r="AH91" s="10" t="str">
        <f aca="false">IF(C91="","",C91&amp;"|"&amp;D91&amp;"|"&amp;E91&amp;"|"&amp;H91&amp;"|"&amp;S91)</f>
        <v/>
      </c>
    </row>
    <row r="92" customFormat="false" ht="15" hidden="false" customHeight="false" outlineLevel="0" collapsed="false">
      <c r="A92" s="10" t="str">
        <f aca="false">IF(C92="","","DRN-"&amp;IFERROR(VLOOKUP(C92,Lists!$A$4:$B$21,2,0),"??")&amp;"-"&amp;TEXT(D92,"0000")&amp;"x"&amp;TEXT(E92,"0000")&amp;"-"&amp;IFERROR(VLOOKUP(H92,Lists!$D$4:$E$18,2,0),"??")&amp;"-"&amp;R92)</f>
        <v/>
      </c>
      <c r="B92" s="10" t="str">
        <f aca="false">IF(C92="","",C92&amp;" "&amp;D92&amp;"W x "&amp;E92&amp;"D, "&amp;H92&amp;", "&amp;I92)</f>
        <v/>
      </c>
      <c r="C92" s="9"/>
      <c r="D92" s="36"/>
      <c r="E92" s="36"/>
      <c r="F92" s="36"/>
      <c r="G92" s="36"/>
      <c r="H92" s="9"/>
      <c r="I92" s="9"/>
      <c r="J92" s="9"/>
      <c r="K92" s="9"/>
      <c r="L92" s="3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37"/>
      <c r="Y92" s="38"/>
      <c r="Z92" s="39"/>
      <c r="AA92" s="39"/>
      <c r="AB92" s="9"/>
      <c r="AC92" s="9"/>
      <c r="AD92" s="9"/>
      <c r="AE92" s="9"/>
      <c r="AF92" s="9"/>
      <c r="AG92" s="40"/>
      <c r="AH92" s="10" t="str">
        <f aca="false">IF(C92="","",C92&amp;"|"&amp;D92&amp;"|"&amp;E92&amp;"|"&amp;H92&amp;"|"&amp;S92)</f>
        <v/>
      </c>
    </row>
    <row r="93" customFormat="false" ht="15" hidden="false" customHeight="false" outlineLevel="0" collapsed="false">
      <c r="A93" s="10" t="str">
        <f aca="false">IF(C93="","","DRN-"&amp;IFERROR(VLOOKUP(C93,Lists!$A$4:$B$21,2,0),"??")&amp;"-"&amp;TEXT(D93,"0000")&amp;"x"&amp;TEXT(E93,"0000")&amp;"-"&amp;IFERROR(VLOOKUP(H93,Lists!$D$4:$E$18,2,0),"??")&amp;"-"&amp;R93)</f>
        <v/>
      </c>
      <c r="B93" s="10" t="str">
        <f aca="false">IF(C93="","",C93&amp;" "&amp;D93&amp;"W x "&amp;E93&amp;"D, "&amp;H93&amp;", "&amp;I93)</f>
        <v/>
      </c>
      <c r="C93" s="9"/>
      <c r="D93" s="36"/>
      <c r="E93" s="36"/>
      <c r="F93" s="36"/>
      <c r="G93" s="36"/>
      <c r="H93" s="9"/>
      <c r="I93" s="9"/>
      <c r="J93" s="9"/>
      <c r="K93" s="9"/>
      <c r="L93" s="3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37"/>
      <c r="Y93" s="38"/>
      <c r="Z93" s="39"/>
      <c r="AA93" s="39"/>
      <c r="AB93" s="9"/>
      <c r="AC93" s="9"/>
      <c r="AD93" s="9"/>
      <c r="AE93" s="9"/>
      <c r="AF93" s="9"/>
      <c r="AG93" s="40"/>
      <c r="AH93" s="10" t="str">
        <f aca="false">IF(C93="","",C93&amp;"|"&amp;D93&amp;"|"&amp;E93&amp;"|"&amp;H93&amp;"|"&amp;S93)</f>
        <v/>
      </c>
    </row>
    <row r="94" customFormat="false" ht="15" hidden="false" customHeight="false" outlineLevel="0" collapsed="false">
      <c r="A94" s="10" t="str">
        <f aca="false">IF(C94="","","DRN-"&amp;IFERROR(VLOOKUP(C94,Lists!$A$4:$B$21,2,0),"??")&amp;"-"&amp;TEXT(D94,"0000")&amp;"x"&amp;TEXT(E94,"0000")&amp;"-"&amp;IFERROR(VLOOKUP(H94,Lists!$D$4:$E$18,2,0),"??")&amp;"-"&amp;R94)</f>
        <v/>
      </c>
      <c r="B94" s="10" t="str">
        <f aca="false">IF(C94="","",C94&amp;" "&amp;D94&amp;"W x "&amp;E94&amp;"D, "&amp;H94&amp;", "&amp;I94)</f>
        <v/>
      </c>
      <c r="C94" s="9"/>
      <c r="D94" s="36"/>
      <c r="E94" s="36"/>
      <c r="F94" s="36"/>
      <c r="G94" s="36"/>
      <c r="H94" s="9"/>
      <c r="I94" s="9"/>
      <c r="J94" s="9"/>
      <c r="K94" s="9"/>
      <c r="L94" s="3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37"/>
      <c r="Y94" s="38"/>
      <c r="Z94" s="39"/>
      <c r="AA94" s="39"/>
      <c r="AB94" s="9"/>
      <c r="AC94" s="9"/>
      <c r="AD94" s="9"/>
      <c r="AE94" s="9"/>
      <c r="AF94" s="9"/>
      <c r="AG94" s="40"/>
      <c r="AH94" s="10" t="str">
        <f aca="false">IF(C94="","",C94&amp;"|"&amp;D94&amp;"|"&amp;E94&amp;"|"&amp;H94&amp;"|"&amp;S94)</f>
        <v/>
      </c>
    </row>
    <row r="95" customFormat="false" ht="15" hidden="false" customHeight="false" outlineLevel="0" collapsed="false">
      <c r="A95" s="10" t="str">
        <f aca="false">IF(C95="","","DRN-"&amp;IFERROR(VLOOKUP(C95,Lists!$A$4:$B$21,2,0),"??")&amp;"-"&amp;TEXT(D95,"0000")&amp;"x"&amp;TEXT(E95,"0000")&amp;"-"&amp;IFERROR(VLOOKUP(H95,Lists!$D$4:$E$18,2,0),"??")&amp;"-"&amp;R95)</f>
        <v/>
      </c>
      <c r="B95" s="10" t="str">
        <f aca="false">IF(C95="","",C95&amp;" "&amp;D95&amp;"W x "&amp;E95&amp;"D, "&amp;H95&amp;", "&amp;I95)</f>
        <v/>
      </c>
      <c r="C95" s="9"/>
      <c r="D95" s="36"/>
      <c r="E95" s="36"/>
      <c r="F95" s="36"/>
      <c r="G95" s="36"/>
      <c r="H95" s="9"/>
      <c r="I95" s="9"/>
      <c r="J95" s="9"/>
      <c r="K95" s="9"/>
      <c r="L95" s="3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37"/>
      <c r="Y95" s="38"/>
      <c r="Z95" s="39"/>
      <c r="AA95" s="39"/>
      <c r="AB95" s="9"/>
      <c r="AC95" s="9"/>
      <c r="AD95" s="9"/>
      <c r="AE95" s="9"/>
      <c r="AF95" s="9"/>
      <c r="AG95" s="40"/>
      <c r="AH95" s="10" t="str">
        <f aca="false">IF(C95="","",C95&amp;"|"&amp;D95&amp;"|"&amp;E95&amp;"|"&amp;H95&amp;"|"&amp;S95)</f>
        <v/>
      </c>
    </row>
    <row r="96" customFormat="false" ht="15" hidden="false" customHeight="false" outlineLevel="0" collapsed="false">
      <c r="A96" s="10" t="str">
        <f aca="false">IF(C96="","","DRN-"&amp;IFERROR(VLOOKUP(C96,Lists!$A$4:$B$21,2,0),"??")&amp;"-"&amp;TEXT(D96,"0000")&amp;"x"&amp;TEXT(E96,"0000")&amp;"-"&amp;IFERROR(VLOOKUP(H96,Lists!$D$4:$E$18,2,0),"??")&amp;"-"&amp;R96)</f>
        <v/>
      </c>
      <c r="B96" s="10" t="str">
        <f aca="false">IF(C96="","",C96&amp;" "&amp;D96&amp;"W x "&amp;E96&amp;"D, "&amp;H96&amp;", "&amp;I96)</f>
        <v/>
      </c>
      <c r="C96" s="9"/>
      <c r="D96" s="36"/>
      <c r="E96" s="36"/>
      <c r="F96" s="36"/>
      <c r="G96" s="36"/>
      <c r="H96" s="9"/>
      <c r="I96" s="9"/>
      <c r="J96" s="9"/>
      <c r="K96" s="9"/>
      <c r="L96" s="3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37"/>
      <c r="Y96" s="38"/>
      <c r="Z96" s="39"/>
      <c r="AA96" s="39"/>
      <c r="AB96" s="9"/>
      <c r="AC96" s="9"/>
      <c r="AD96" s="9"/>
      <c r="AE96" s="9"/>
      <c r="AF96" s="9"/>
      <c r="AG96" s="40"/>
      <c r="AH96" s="10" t="str">
        <f aca="false">IF(C96="","",C96&amp;"|"&amp;D96&amp;"|"&amp;E96&amp;"|"&amp;H96&amp;"|"&amp;S96)</f>
        <v/>
      </c>
    </row>
    <row r="97" customFormat="false" ht="15" hidden="false" customHeight="false" outlineLevel="0" collapsed="false">
      <c r="A97" s="10" t="str">
        <f aca="false">IF(C97="","","DRN-"&amp;IFERROR(VLOOKUP(C97,Lists!$A$4:$B$21,2,0),"??")&amp;"-"&amp;TEXT(D97,"0000")&amp;"x"&amp;TEXT(E97,"0000")&amp;"-"&amp;IFERROR(VLOOKUP(H97,Lists!$D$4:$E$18,2,0),"??")&amp;"-"&amp;R97)</f>
        <v/>
      </c>
      <c r="B97" s="10" t="str">
        <f aca="false">IF(C97="","",C97&amp;" "&amp;D97&amp;"W x "&amp;E97&amp;"D, "&amp;H97&amp;", "&amp;I97)</f>
        <v/>
      </c>
      <c r="C97" s="9"/>
      <c r="D97" s="36"/>
      <c r="E97" s="36"/>
      <c r="F97" s="36"/>
      <c r="G97" s="36"/>
      <c r="H97" s="9"/>
      <c r="I97" s="9"/>
      <c r="J97" s="9"/>
      <c r="K97" s="9"/>
      <c r="L97" s="3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37"/>
      <c r="Y97" s="38"/>
      <c r="Z97" s="39"/>
      <c r="AA97" s="39"/>
      <c r="AB97" s="9"/>
      <c r="AC97" s="9"/>
      <c r="AD97" s="9"/>
      <c r="AE97" s="9"/>
      <c r="AF97" s="9"/>
      <c r="AG97" s="40"/>
      <c r="AH97" s="10" t="str">
        <f aca="false">IF(C97="","",C97&amp;"|"&amp;D97&amp;"|"&amp;E97&amp;"|"&amp;H97&amp;"|"&amp;S97)</f>
        <v/>
      </c>
    </row>
    <row r="98" customFormat="false" ht="15" hidden="false" customHeight="false" outlineLevel="0" collapsed="false">
      <c r="A98" s="10" t="str">
        <f aca="false">IF(C98="","","DRN-"&amp;IFERROR(VLOOKUP(C98,Lists!$A$4:$B$21,2,0),"??")&amp;"-"&amp;TEXT(D98,"0000")&amp;"x"&amp;TEXT(E98,"0000")&amp;"-"&amp;IFERROR(VLOOKUP(H98,Lists!$D$4:$E$18,2,0),"??")&amp;"-"&amp;R98)</f>
        <v/>
      </c>
      <c r="B98" s="10" t="str">
        <f aca="false">IF(C98="","",C98&amp;" "&amp;D98&amp;"W x "&amp;E98&amp;"D, "&amp;H98&amp;", "&amp;I98)</f>
        <v/>
      </c>
      <c r="C98" s="9"/>
      <c r="D98" s="36"/>
      <c r="E98" s="36"/>
      <c r="F98" s="36"/>
      <c r="G98" s="36"/>
      <c r="H98" s="9"/>
      <c r="I98" s="9"/>
      <c r="J98" s="9"/>
      <c r="K98" s="9"/>
      <c r="L98" s="3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37"/>
      <c r="Y98" s="38"/>
      <c r="Z98" s="39"/>
      <c r="AA98" s="39"/>
      <c r="AB98" s="9"/>
      <c r="AC98" s="9"/>
      <c r="AD98" s="9"/>
      <c r="AE98" s="9"/>
      <c r="AF98" s="9"/>
      <c r="AG98" s="40"/>
      <c r="AH98" s="10" t="str">
        <f aca="false">IF(C98="","",C98&amp;"|"&amp;D98&amp;"|"&amp;E98&amp;"|"&amp;H98&amp;"|"&amp;S98)</f>
        <v/>
      </c>
    </row>
    <row r="99" customFormat="false" ht="15" hidden="false" customHeight="false" outlineLevel="0" collapsed="false">
      <c r="A99" s="10" t="str">
        <f aca="false">IF(C99="","","DRN-"&amp;IFERROR(VLOOKUP(C99,Lists!$A$4:$B$21,2,0),"??")&amp;"-"&amp;TEXT(D99,"0000")&amp;"x"&amp;TEXT(E99,"0000")&amp;"-"&amp;IFERROR(VLOOKUP(H99,Lists!$D$4:$E$18,2,0),"??")&amp;"-"&amp;R99)</f>
        <v/>
      </c>
      <c r="B99" s="10" t="str">
        <f aca="false">IF(C99="","",C99&amp;" "&amp;D99&amp;"W x "&amp;E99&amp;"D, "&amp;H99&amp;", "&amp;I99)</f>
        <v/>
      </c>
      <c r="C99" s="9"/>
      <c r="D99" s="36"/>
      <c r="E99" s="36"/>
      <c r="F99" s="36"/>
      <c r="G99" s="36"/>
      <c r="H99" s="9"/>
      <c r="I99" s="9"/>
      <c r="J99" s="9"/>
      <c r="K99" s="9"/>
      <c r="L99" s="36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37"/>
      <c r="Y99" s="38"/>
      <c r="Z99" s="39"/>
      <c r="AA99" s="39"/>
      <c r="AB99" s="9"/>
      <c r="AC99" s="9"/>
      <c r="AD99" s="9"/>
      <c r="AE99" s="9"/>
      <c r="AF99" s="9"/>
      <c r="AG99" s="40"/>
      <c r="AH99" s="10" t="str">
        <f aca="false">IF(C99="","",C99&amp;"|"&amp;D99&amp;"|"&amp;E99&amp;"|"&amp;H99&amp;"|"&amp;S99)</f>
        <v/>
      </c>
    </row>
    <row r="100" customFormat="false" ht="15" hidden="false" customHeight="false" outlineLevel="0" collapsed="false">
      <c r="A100" s="10" t="str">
        <f aca="false">IF(C100="","","DRN-"&amp;IFERROR(VLOOKUP(C100,Lists!$A$4:$B$21,2,0),"??")&amp;"-"&amp;TEXT(D100,"0000")&amp;"x"&amp;TEXT(E100,"0000")&amp;"-"&amp;IFERROR(VLOOKUP(H100,Lists!$D$4:$E$18,2,0),"??")&amp;"-"&amp;R100)</f>
        <v/>
      </c>
      <c r="B100" s="10" t="str">
        <f aca="false">IF(C100="","",C100&amp;" "&amp;D100&amp;"W x "&amp;E100&amp;"D, "&amp;H100&amp;", "&amp;I100)</f>
        <v/>
      </c>
      <c r="C100" s="9"/>
      <c r="D100" s="36"/>
      <c r="E100" s="36"/>
      <c r="F100" s="36"/>
      <c r="G100" s="36"/>
      <c r="H100" s="9"/>
      <c r="I100" s="9"/>
      <c r="J100" s="9"/>
      <c r="K100" s="9"/>
      <c r="L100" s="3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37"/>
      <c r="Y100" s="38"/>
      <c r="Z100" s="39"/>
      <c r="AA100" s="39"/>
      <c r="AB100" s="9"/>
      <c r="AC100" s="9"/>
      <c r="AD100" s="9"/>
      <c r="AE100" s="9"/>
      <c r="AF100" s="9"/>
      <c r="AG100" s="40"/>
      <c r="AH100" s="10" t="str">
        <f aca="false">IF(C100="","",C100&amp;"|"&amp;D100&amp;"|"&amp;E100&amp;"|"&amp;H100&amp;"|"&amp;S100)</f>
        <v/>
      </c>
    </row>
    <row r="101" customFormat="false" ht="15" hidden="false" customHeight="false" outlineLevel="0" collapsed="false">
      <c r="A101" s="10" t="str">
        <f aca="false">IF(C101="","","DRN-"&amp;IFERROR(VLOOKUP(C101,Lists!$A$4:$B$21,2,0),"??")&amp;"-"&amp;TEXT(D101,"0000")&amp;"x"&amp;TEXT(E101,"0000")&amp;"-"&amp;IFERROR(VLOOKUP(H101,Lists!$D$4:$E$18,2,0),"??")&amp;"-"&amp;R101)</f>
        <v/>
      </c>
      <c r="B101" s="10" t="str">
        <f aca="false">IF(C101="","",C101&amp;" "&amp;D101&amp;"W x "&amp;E101&amp;"D, "&amp;H101&amp;", "&amp;I101)</f>
        <v/>
      </c>
      <c r="C101" s="9"/>
      <c r="D101" s="36"/>
      <c r="E101" s="36"/>
      <c r="F101" s="36"/>
      <c r="G101" s="36"/>
      <c r="H101" s="9"/>
      <c r="I101" s="9"/>
      <c r="J101" s="9"/>
      <c r="K101" s="9"/>
      <c r="L101" s="3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37"/>
      <c r="Y101" s="38"/>
      <c r="Z101" s="39"/>
      <c r="AA101" s="39"/>
      <c r="AB101" s="9"/>
      <c r="AC101" s="9"/>
      <c r="AD101" s="9"/>
      <c r="AE101" s="9"/>
      <c r="AF101" s="9"/>
      <c r="AG101" s="40"/>
      <c r="AH101" s="10" t="str">
        <f aca="false">IF(C101="","",C101&amp;"|"&amp;D101&amp;"|"&amp;E101&amp;"|"&amp;H101&amp;"|"&amp;S101)</f>
        <v/>
      </c>
    </row>
    <row r="102" customFormat="false" ht="15" hidden="false" customHeight="false" outlineLevel="0" collapsed="false">
      <c r="A102" s="10" t="str">
        <f aca="false">IF(C102="","","DRN-"&amp;IFERROR(VLOOKUP(C102,Lists!$A$4:$B$21,2,0),"??")&amp;"-"&amp;TEXT(D102,"0000")&amp;"x"&amp;TEXT(E102,"0000")&amp;"-"&amp;IFERROR(VLOOKUP(H102,Lists!$D$4:$E$18,2,0),"??")&amp;"-"&amp;R102)</f>
        <v/>
      </c>
      <c r="B102" s="10" t="str">
        <f aca="false">IF(C102="","",C102&amp;" "&amp;D102&amp;"W x "&amp;E102&amp;"D, "&amp;H102&amp;", "&amp;I102)</f>
        <v/>
      </c>
      <c r="C102" s="9"/>
      <c r="D102" s="36"/>
      <c r="E102" s="36"/>
      <c r="F102" s="36"/>
      <c r="G102" s="36"/>
      <c r="H102" s="9"/>
      <c r="I102" s="9"/>
      <c r="J102" s="9"/>
      <c r="K102" s="9"/>
      <c r="L102" s="36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37"/>
      <c r="Y102" s="38"/>
      <c r="Z102" s="39"/>
      <c r="AA102" s="39"/>
      <c r="AB102" s="9"/>
      <c r="AC102" s="9"/>
      <c r="AD102" s="9"/>
      <c r="AE102" s="9"/>
      <c r="AF102" s="9"/>
      <c r="AG102" s="40"/>
      <c r="AH102" s="10" t="str">
        <f aca="false">IF(C102="","",C102&amp;"|"&amp;D102&amp;"|"&amp;E102&amp;"|"&amp;H102&amp;"|"&amp;S102)</f>
        <v/>
      </c>
    </row>
    <row r="103" customFormat="false" ht="15" hidden="false" customHeight="false" outlineLevel="0" collapsed="false">
      <c r="A103" s="10" t="str">
        <f aca="false">IF(C103="","","DRN-"&amp;IFERROR(VLOOKUP(C103,Lists!$A$4:$B$21,2,0),"??")&amp;"-"&amp;TEXT(D103,"0000")&amp;"x"&amp;TEXT(E103,"0000")&amp;"-"&amp;IFERROR(VLOOKUP(H103,Lists!$D$4:$E$18,2,0),"??")&amp;"-"&amp;R103)</f>
        <v/>
      </c>
      <c r="B103" s="10" t="str">
        <f aca="false">IF(C103="","",C103&amp;" "&amp;D103&amp;"W x "&amp;E103&amp;"D, "&amp;H103&amp;", "&amp;I103)</f>
        <v/>
      </c>
      <c r="C103" s="9"/>
      <c r="D103" s="36"/>
      <c r="E103" s="36"/>
      <c r="F103" s="36"/>
      <c r="G103" s="36"/>
      <c r="H103" s="9"/>
      <c r="I103" s="9"/>
      <c r="J103" s="9"/>
      <c r="K103" s="9"/>
      <c r="L103" s="3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37"/>
      <c r="Y103" s="38"/>
      <c r="Z103" s="39"/>
      <c r="AA103" s="39"/>
      <c r="AB103" s="9"/>
      <c r="AC103" s="9"/>
      <c r="AD103" s="9"/>
      <c r="AE103" s="9"/>
      <c r="AF103" s="9"/>
      <c r="AG103" s="40"/>
      <c r="AH103" s="10" t="str">
        <f aca="false">IF(C103="","",C103&amp;"|"&amp;D103&amp;"|"&amp;E103&amp;"|"&amp;H103&amp;"|"&amp;S103)</f>
        <v/>
      </c>
    </row>
    <row r="104" customFormat="false" ht="15" hidden="false" customHeight="false" outlineLevel="0" collapsed="false">
      <c r="A104" s="10" t="str">
        <f aca="false">IF(C104="","","DRN-"&amp;IFERROR(VLOOKUP(C104,Lists!$A$4:$B$21,2,0),"??")&amp;"-"&amp;TEXT(D104,"0000")&amp;"x"&amp;TEXT(E104,"0000")&amp;"-"&amp;IFERROR(VLOOKUP(H104,Lists!$D$4:$E$18,2,0),"??")&amp;"-"&amp;R104)</f>
        <v/>
      </c>
      <c r="B104" s="10" t="str">
        <f aca="false">IF(C104="","",C104&amp;" "&amp;D104&amp;"W x "&amp;E104&amp;"D, "&amp;H104&amp;", "&amp;I104)</f>
        <v/>
      </c>
      <c r="C104" s="9"/>
      <c r="D104" s="36"/>
      <c r="E104" s="36"/>
      <c r="F104" s="36"/>
      <c r="G104" s="36"/>
      <c r="H104" s="9"/>
      <c r="I104" s="9"/>
      <c r="J104" s="9"/>
      <c r="K104" s="9"/>
      <c r="L104" s="3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37"/>
      <c r="Y104" s="38"/>
      <c r="Z104" s="39"/>
      <c r="AA104" s="39"/>
      <c r="AB104" s="9"/>
      <c r="AC104" s="9"/>
      <c r="AD104" s="9"/>
      <c r="AE104" s="9"/>
      <c r="AF104" s="9"/>
      <c r="AG104" s="40"/>
      <c r="AH104" s="10" t="str">
        <f aca="false">IF(C104="","",C104&amp;"|"&amp;D104&amp;"|"&amp;E104&amp;"|"&amp;H104&amp;"|"&amp;S104)</f>
        <v/>
      </c>
    </row>
    <row r="105" customFormat="false" ht="15" hidden="false" customHeight="false" outlineLevel="0" collapsed="false">
      <c r="A105" s="10" t="str">
        <f aca="false">IF(C105="","","DRN-"&amp;IFERROR(VLOOKUP(C105,Lists!$A$4:$B$21,2,0),"??")&amp;"-"&amp;TEXT(D105,"0000")&amp;"x"&amp;TEXT(E105,"0000")&amp;"-"&amp;IFERROR(VLOOKUP(H105,Lists!$D$4:$E$18,2,0),"??")&amp;"-"&amp;R105)</f>
        <v/>
      </c>
      <c r="B105" s="10" t="str">
        <f aca="false">IF(C105="","",C105&amp;" "&amp;D105&amp;"W x "&amp;E105&amp;"D, "&amp;H105&amp;", "&amp;I105)</f>
        <v/>
      </c>
      <c r="C105" s="9"/>
      <c r="D105" s="36"/>
      <c r="E105" s="36"/>
      <c r="F105" s="36"/>
      <c r="G105" s="36"/>
      <c r="H105" s="9"/>
      <c r="I105" s="9"/>
      <c r="J105" s="9"/>
      <c r="K105" s="9"/>
      <c r="L105" s="3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37"/>
      <c r="Y105" s="38"/>
      <c r="Z105" s="39"/>
      <c r="AA105" s="39"/>
      <c r="AB105" s="9"/>
      <c r="AC105" s="9"/>
      <c r="AD105" s="9"/>
      <c r="AE105" s="9"/>
      <c r="AF105" s="9"/>
      <c r="AG105" s="40"/>
      <c r="AH105" s="10" t="str">
        <f aca="false">IF(C105="","",C105&amp;"|"&amp;D105&amp;"|"&amp;E105&amp;"|"&amp;H105&amp;"|"&amp;S105)</f>
        <v/>
      </c>
    </row>
    <row r="106" customFormat="false" ht="15" hidden="false" customHeight="false" outlineLevel="0" collapsed="false">
      <c r="A106" s="10" t="str">
        <f aca="false">IF(C106="","","DRN-"&amp;IFERROR(VLOOKUP(C106,Lists!$A$4:$B$21,2,0),"??")&amp;"-"&amp;TEXT(D106,"0000")&amp;"x"&amp;TEXT(E106,"0000")&amp;"-"&amp;IFERROR(VLOOKUP(H106,Lists!$D$4:$E$18,2,0),"??")&amp;"-"&amp;R106)</f>
        <v/>
      </c>
      <c r="B106" s="10" t="str">
        <f aca="false">IF(C106="","",C106&amp;" "&amp;D106&amp;"W x "&amp;E106&amp;"D, "&amp;H106&amp;", "&amp;I106)</f>
        <v/>
      </c>
      <c r="C106" s="9"/>
      <c r="D106" s="36"/>
      <c r="E106" s="36"/>
      <c r="F106" s="36"/>
      <c r="G106" s="36"/>
      <c r="H106" s="9"/>
      <c r="I106" s="9"/>
      <c r="J106" s="9"/>
      <c r="K106" s="9"/>
      <c r="L106" s="3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37"/>
      <c r="Y106" s="38"/>
      <c r="Z106" s="39"/>
      <c r="AA106" s="39"/>
      <c r="AB106" s="9"/>
      <c r="AC106" s="9"/>
      <c r="AD106" s="9"/>
      <c r="AE106" s="9"/>
      <c r="AF106" s="9"/>
      <c r="AG106" s="40"/>
      <c r="AH106" s="10" t="str">
        <f aca="false">IF(C106="","",C106&amp;"|"&amp;D106&amp;"|"&amp;E106&amp;"|"&amp;H106&amp;"|"&amp;S106)</f>
        <v/>
      </c>
    </row>
    <row r="107" customFormat="false" ht="15" hidden="false" customHeight="false" outlineLevel="0" collapsed="false">
      <c r="A107" s="10" t="str">
        <f aca="false">IF(C107="","","DRN-"&amp;IFERROR(VLOOKUP(C107,Lists!$A$4:$B$21,2,0),"??")&amp;"-"&amp;TEXT(D107,"0000")&amp;"x"&amp;TEXT(E107,"0000")&amp;"-"&amp;IFERROR(VLOOKUP(H107,Lists!$D$4:$E$18,2,0),"??")&amp;"-"&amp;R107)</f>
        <v/>
      </c>
      <c r="B107" s="10" t="str">
        <f aca="false">IF(C107="","",C107&amp;" "&amp;D107&amp;"W x "&amp;E107&amp;"D, "&amp;H107&amp;", "&amp;I107)</f>
        <v/>
      </c>
      <c r="C107" s="9"/>
      <c r="D107" s="36"/>
      <c r="E107" s="36"/>
      <c r="F107" s="36"/>
      <c r="G107" s="36"/>
      <c r="H107" s="9"/>
      <c r="I107" s="9"/>
      <c r="J107" s="9"/>
      <c r="K107" s="9"/>
      <c r="L107" s="3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37"/>
      <c r="Y107" s="38"/>
      <c r="Z107" s="39"/>
      <c r="AA107" s="39"/>
      <c r="AB107" s="9"/>
      <c r="AC107" s="9"/>
      <c r="AD107" s="9"/>
      <c r="AE107" s="9"/>
      <c r="AF107" s="9"/>
      <c r="AG107" s="40"/>
      <c r="AH107" s="10" t="str">
        <f aca="false">IF(C107="","",C107&amp;"|"&amp;D107&amp;"|"&amp;E107&amp;"|"&amp;H107&amp;"|"&amp;S107)</f>
        <v/>
      </c>
    </row>
    <row r="108" customFormat="false" ht="15" hidden="false" customHeight="false" outlineLevel="0" collapsed="false">
      <c r="A108" s="10" t="str">
        <f aca="false">IF(C108="","","DRN-"&amp;IFERROR(VLOOKUP(C108,Lists!$A$4:$B$21,2,0),"??")&amp;"-"&amp;TEXT(D108,"0000")&amp;"x"&amp;TEXT(E108,"0000")&amp;"-"&amp;IFERROR(VLOOKUP(H108,Lists!$D$4:$E$18,2,0),"??")&amp;"-"&amp;R108)</f>
        <v/>
      </c>
      <c r="B108" s="10" t="str">
        <f aca="false">IF(C108="","",C108&amp;" "&amp;D108&amp;"W x "&amp;E108&amp;"D, "&amp;H108&amp;", "&amp;I108)</f>
        <v/>
      </c>
      <c r="C108" s="9"/>
      <c r="D108" s="36"/>
      <c r="E108" s="36"/>
      <c r="F108" s="36"/>
      <c r="G108" s="36"/>
      <c r="H108" s="9"/>
      <c r="I108" s="9"/>
      <c r="J108" s="9"/>
      <c r="K108" s="9"/>
      <c r="L108" s="36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37"/>
      <c r="Y108" s="38"/>
      <c r="Z108" s="39"/>
      <c r="AA108" s="39"/>
      <c r="AB108" s="9"/>
      <c r="AC108" s="9"/>
      <c r="AD108" s="9"/>
      <c r="AE108" s="9"/>
      <c r="AF108" s="9"/>
      <c r="AG108" s="40"/>
      <c r="AH108" s="10" t="str">
        <f aca="false">IF(C108="","",C108&amp;"|"&amp;D108&amp;"|"&amp;E108&amp;"|"&amp;H108&amp;"|"&amp;S108)</f>
        <v/>
      </c>
    </row>
    <row r="109" customFormat="false" ht="15" hidden="false" customHeight="false" outlineLevel="0" collapsed="false">
      <c r="A109" s="10" t="str">
        <f aca="false">IF(C109="","","DRN-"&amp;IFERROR(VLOOKUP(C109,Lists!$A$4:$B$21,2,0),"??")&amp;"-"&amp;TEXT(D109,"0000")&amp;"x"&amp;TEXT(E109,"0000")&amp;"-"&amp;IFERROR(VLOOKUP(H109,Lists!$D$4:$E$18,2,0),"??")&amp;"-"&amp;R109)</f>
        <v/>
      </c>
      <c r="B109" s="10" t="str">
        <f aca="false">IF(C109="","",C109&amp;" "&amp;D109&amp;"W x "&amp;E109&amp;"D, "&amp;H109&amp;", "&amp;I109)</f>
        <v/>
      </c>
      <c r="C109" s="9"/>
      <c r="D109" s="36"/>
      <c r="E109" s="36"/>
      <c r="F109" s="36"/>
      <c r="G109" s="36"/>
      <c r="H109" s="9"/>
      <c r="I109" s="9"/>
      <c r="J109" s="9"/>
      <c r="K109" s="9"/>
      <c r="L109" s="3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37"/>
      <c r="Y109" s="38"/>
      <c r="Z109" s="39"/>
      <c r="AA109" s="39"/>
      <c r="AB109" s="9"/>
      <c r="AC109" s="9"/>
      <c r="AD109" s="9"/>
      <c r="AE109" s="9"/>
      <c r="AF109" s="9"/>
      <c r="AG109" s="40"/>
      <c r="AH109" s="10" t="str">
        <f aca="false">IF(C109="","",C109&amp;"|"&amp;D109&amp;"|"&amp;E109&amp;"|"&amp;H109&amp;"|"&amp;S109)</f>
        <v/>
      </c>
    </row>
    <row r="110" customFormat="false" ht="15" hidden="false" customHeight="false" outlineLevel="0" collapsed="false">
      <c r="A110" s="10" t="str">
        <f aca="false">IF(C110="","","DRN-"&amp;IFERROR(VLOOKUP(C110,Lists!$A$4:$B$21,2,0),"??")&amp;"-"&amp;TEXT(D110,"0000")&amp;"x"&amp;TEXT(E110,"0000")&amp;"-"&amp;IFERROR(VLOOKUP(H110,Lists!$D$4:$E$18,2,0),"??")&amp;"-"&amp;R110)</f>
        <v/>
      </c>
      <c r="B110" s="10" t="str">
        <f aca="false">IF(C110="","",C110&amp;" "&amp;D110&amp;"W x "&amp;E110&amp;"D, "&amp;H110&amp;", "&amp;I110)</f>
        <v/>
      </c>
      <c r="C110" s="9"/>
      <c r="D110" s="36"/>
      <c r="E110" s="36"/>
      <c r="F110" s="36"/>
      <c r="G110" s="36"/>
      <c r="H110" s="9"/>
      <c r="I110" s="9"/>
      <c r="J110" s="9"/>
      <c r="K110" s="9"/>
      <c r="L110" s="3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37"/>
      <c r="Y110" s="38"/>
      <c r="Z110" s="39"/>
      <c r="AA110" s="39"/>
      <c r="AB110" s="9"/>
      <c r="AC110" s="9"/>
      <c r="AD110" s="9"/>
      <c r="AE110" s="9"/>
      <c r="AF110" s="9"/>
      <c r="AG110" s="40"/>
      <c r="AH110" s="10" t="str">
        <f aca="false">IF(C110="","",C110&amp;"|"&amp;D110&amp;"|"&amp;E110&amp;"|"&amp;H110&amp;"|"&amp;S110)</f>
        <v/>
      </c>
    </row>
    <row r="111" customFormat="false" ht="15" hidden="false" customHeight="false" outlineLevel="0" collapsed="false">
      <c r="A111" s="10" t="str">
        <f aca="false">IF(C111="","","DRN-"&amp;IFERROR(VLOOKUP(C111,Lists!$A$4:$B$21,2,0),"??")&amp;"-"&amp;TEXT(D111,"0000")&amp;"x"&amp;TEXT(E111,"0000")&amp;"-"&amp;IFERROR(VLOOKUP(H111,Lists!$D$4:$E$18,2,0),"??")&amp;"-"&amp;R111)</f>
        <v/>
      </c>
      <c r="B111" s="10" t="str">
        <f aca="false">IF(C111="","",C111&amp;" "&amp;D111&amp;"W x "&amp;E111&amp;"D, "&amp;H111&amp;", "&amp;I111)</f>
        <v/>
      </c>
      <c r="C111" s="9"/>
      <c r="D111" s="36"/>
      <c r="E111" s="36"/>
      <c r="F111" s="36"/>
      <c r="G111" s="36"/>
      <c r="H111" s="9"/>
      <c r="I111" s="9"/>
      <c r="J111" s="9"/>
      <c r="K111" s="9"/>
      <c r="L111" s="36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37"/>
      <c r="Y111" s="38"/>
      <c r="Z111" s="39"/>
      <c r="AA111" s="39"/>
      <c r="AB111" s="9"/>
      <c r="AC111" s="9"/>
      <c r="AD111" s="9"/>
      <c r="AE111" s="9"/>
      <c r="AF111" s="9"/>
      <c r="AG111" s="40"/>
      <c r="AH111" s="10" t="str">
        <f aca="false">IF(C111="","",C111&amp;"|"&amp;D111&amp;"|"&amp;E111&amp;"|"&amp;H111&amp;"|"&amp;S111)</f>
        <v/>
      </c>
    </row>
    <row r="112" customFormat="false" ht="15" hidden="false" customHeight="false" outlineLevel="0" collapsed="false">
      <c r="A112" s="10" t="str">
        <f aca="false">IF(C112="","","DRN-"&amp;IFERROR(VLOOKUP(C112,Lists!$A$4:$B$21,2,0),"??")&amp;"-"&amp;TEXT(D112,"0000")&amp;"x"&amp;TEXT(E112,"0000")&amp;"-"&amp;IFERROR(VLOOKUP(H112,Lists!$D$4:$E$18,2,0),"??")&amp;"-"&amp;R112)</f>
        <v/>
      </c>
      <c r="B112" s="10" t="str">
        <f aca="false">IF(C112="","",C112&amp;" "&amp;D112&amp;"W x "&amp;E112&amp;"D, "&amp;H112&amp;", "&amp;I112)</f>
        <v/>
      </c>
      <c r="C112" s="9"/>
      <c r="D112" s="36"/>
      <c r="E112" s="36"/>
      <c r="F112" s="36"/>
      <c r="G112" s="36"/>
      <c r="H112" s="9"/>
      <c r="I112" s="9"/>
      <c r="J112" s="9"/>
      <c r="K112" s="9"/>
      <c r="L112" s="3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37"/>
      <c r="Y112" s="38"/>
      <c r="Z112" s="39"/>
      <c r="AA112" s="39"/>
      <c r="AB112" s="9"/>
      <c r="AC112" s="9"/>
      <c r="AD112" s="9"/>
      <c r="AE112" s="9"/>
      <c r="AF112" s="9"/>
      <c r="AG112" s="40"/>
      <c r="AH112" s="10" t="str">
        <f aca="false">IF(C112="","",C112&amp;"|"&amp;D112&amp;"|"&amp;E112&amp;"|"&amp;H112&amp;"|"&amp;S112)</f>
        <v/>
      </c>
    </row>
    <row r="113" customFormat="false" ht="15" hidden="false" customHeight="false" outlineLevel="0" collapsed="false">
      <c r="A113" s="10" t="str">
        <f aca="false">IF(C113="","","DRN-"&amp;IFERROR(VLOOKUP(C113,Lists!$A$4:$B$21,2,0),"??")&amp;"-"&amp;TEXT(D113,"0000")&amp;"x"&amp;TEXT(E113,"0000")&amp;"-"&amp;IFERROR(VLOOKUP(H113,Lists!$D$4:$E$18,2,0),"??")&amp;"-"&amp;R113)</f>
        <v/>
      </c>
      <c r="B113" s="10" t="str">
        <f aca="false">IF(C113="","",C113&amp;" "&amp;D113&amp;"W x "&amp;E113&amp;"D, "&amp;H113&amp;", "&amp;I113)</f>
        <v/>
      </c>
      <c r="C113" s="9"/>
      <c r="D113" s="36"/>
      <c r="E113" s="36"/>
      <c r="F113" s="36"/>
      <c r="G113" s="36"/>
      <c r="H113" s="9"/>
      <c r="I113" s="9"/>
      <c r="J113" s="9"/>
      <c r="K113" s="9"/>
      <c r="L113" s="3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37"/>
      <c r="Y113" s="38"/>
      <c r="Z113" s="39"/>
      <c r="AA113" s="39"/>
      <c r="AB113" s="9"/>
      <c r="AC113" s="9"/>
      <c r="AD113" s="9"/>
      <c r="AE113" s="9"/>
      <c r="AF113" s="9"/>
      <c r="AG113" s="40"/>
      <c r="AH113" s="10" t="str">
        <f aca="false">IF(C113="","",C113&amp;"|"&amp;D113&amp;"|"&amp;E113&amp;"|"&amp;H113&amp;"|"&amp;S113)</f>
        <v/>
      </c>
    </row>
    <row r="114" customFormat="false" ht="15" hidden="false" customHeight="false" outlineLevel="0" collapsed="false">
      <c r="A114" s="10" t="str">
        <f aca="false">IF(C114="","","DRN-"&amp;IFERROR(VLOOKUP(C114,Lists!$A$4:$B$21,2,0),"??")&amp;"-"&amp;TEXT(D114,"0000")&amp;"x"&amp;TEXT(E114,"0000")&amp;"-"&amp;IFERROR(VLOOKUP(H114,Lists!$D$4:$E$18,2,0),"??")&amp;"-"&amp;R114)</f>
        <v/>
      </c>
      <c r="B114" s="10" t="str">
        <f aca="false">IF(C114="","",C114&amp;" "&amp;D114&amp;"W x "&amp;E114&amp;"D, "&amp;H114&amp;", "&amp;I114)</f>
        <v/>
      </c>
      <c r="C114" s="9"/>
      <c r="D114" s="36"/>
      <c r="E114" s="36"/>
      <c r="F114" s="36"/>
      <c r="G114" s="36"/>
      <c r="H114" s="9"/>
      <c r="I114" s="9"/>
      <c r="J114" s="9"/>
      <c r="K114" s="9"/>
      <c r="L114" s="36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37"/>
      <c r="Y114" s="38"/>
      <c r="Z114" s="39"/>
      <c r="AA114" s="39"/>
      <c r="AB114" s="9"/>
      <c r="AC114" s="9"/>
      <c r="AD114" s="9"/>
      <c r="AE114" s="9"/>
      <c r="AF114" s="9"/>
      <c r="AG114" s="40"/>
      <c r="AH114" s="10" t="str">
        <f aca="false">IF(C114="","",C114&amp;"|"&amp;D114&amp;"|"&amp;E114&amp;"|"&amp;H114&amp;"|"&amp;S114)</f>
        <v/>
      </c>
    </row>
    <row r="115" customFormat="false" ht="15" hidden="false" customHeight="false" outlineLevel="0" collapsed="false">
      <c r="A115" s="10" t="str">
        <f aca="false">IF(C115="","","DRN-"&amp;IFERROR(VLOOKUP(C115,Lists!$A$4:$B$21,2,0),"??")&amp;"-"&amp;TEXT(D115,"0000")&amp;"x"&amp;TEXT(E115,"0000")&amp;"-"&amp;IFERROR(VLOOKUP(H115,Lists!$D$4:$E$18,2,0),"??")&amp;"-"&amp;R115)</f>
        <v/>
      </c>
      <c r="B115" s="10" t="str">
        <f aca="false">IF(C115="","",C115&amp;" "&amp;D115&amp;"W x "&amp;E115&amp;"D, "&amp;H115&amp;", "&amp;I115)</f>
        <v/>
      </c>
      <c r="C115" s="9"/>
      <c r="D115" s="36"/>
      <c r="E115" s="36"/>
      <c r="F115" s="36"/>
      <c r="G115" s="36"/>
      <c r="H115" s="9"/>
      <c r="I115" s="9"/>
      <c r="J115" s="9"/>
      <c r="K115" s="9"/>
      <c r="L115" s="36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37"/>
      <c r="Y115" s="38"/>
      <c r="Z115" s="39"/>
      <c r="AA115" s="39"/>
      <c r="AB115" s="9"/>
      <c r="AC115" s="9"/>
      <c r="AD115" s="9"/>
      <c r="AE115" s="9"/>
      <c r="AF115" s="9"/>
      <c r="AG115" s="40"/>
      <c r="AH115" s="10" t="str">
        <f aca="false">IF(C115="","",C115&amp;"|"&amp;D115&amp;"|"&amp;E115&amp;"|"&amp;H115&amp;"|"&amp;S115)</f>
        <v/>
      </c>
    </row>
    <row r="116" customFormat="false" ht="15" hidden="false" customHeight="false" outlineLevel="0" collapsed="false">
      <c r="A116" s="10" t="str">
        <f aca="false">IF(C116="","","DRN-"&amp;IFERROR(VLOOKUP(C116,Lists!$A$4:$B$21,2,0),"??")&amp;"-"&amp;TEXT(D116,"0000")&amp;"x"&amp;TEXT(E116,"0000")&amp;"-"&amp;IFERROR(VLOOKUP(H116,Lists!$D$4:$E$18,2,0),"??")&amp;"-"&amp;R116)</f>
        <v/>
      </c>
      <c r="B116" s="10" t="str">
        <f aca="false">IF(C116="","",C116&amp;" "&amp;D116&amp;"W x "&amp;E116&amp;"D, "&amp;H116&amp;", "&amp;I116)</f>
        <v/>
      </c>
      <c r="C116" s="9"/>
      <c r="D116" s="36"/>
      <c r="E116" s="36"/>
      <c r="F116" s="36"/>
      <c r="G116" s="36"/>
      <c r="H116" s="9"/>
      <c r="I116" s="9"/>
      <c r="J116" s="9"/>
      <c r="K116" s="9"/>
      <c r="L116" s="36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37"/>
      <c r="Y116" s="38"/>
      <c r="Z116" s="39"/>
      <c r="AA116" s="39"/>
      <c r="AB116" s="9"/>
      <c r="AC116" s="9"/>
      <c r="AD116" s="9"/>
      <c r="AE116" s="9"/>
      <c r="AF116" s="9"/>
      <c r="AG116" s="40"/>
      <c r="AH116" s="10" t="str">
        <f aca="false">IF(C116="","",C116&amp;"|"&amp;D116&amp;"|"&amp;E116&amp;"|"&amp;H116&amp;"|"&amp;S116)</f>
        <v/>
      </c>
    </row>
    <row r="117" customFormat="false" ht="15" hidden="false" customHeight="false" outlineLevel="0" collapsed="false">
      <c r="A117" s="10" t="str">
        <f aca="false">IF(C117="","","DRN-"&amp;IFERROR(VLOOKUP(C117,Lists!$A$4:$B$21,2,0),"??")&amp;"-"&amp;TEXT(D117,"0000")&amp;"x"&amp;TEXT(E117,"0000")&amp;"-"&amp;IFERROR(VLOOKUP(H117,Lists!$D$4:$E$18,2,0),"??")&amp;"-"&amp;R117)</f>
        <v/>
      </c>
      <c r="B117" s="10" t="str">
        <f aca="false">IF(C117="","",C117&amp;" "&amp;D117&amp;"W x "&amp;E117&amp;"D, "&amp;H117&amp;", "&amp;I117)</f>
        <v/>
      </c>
      <c r="C117" s="9"/>
      <c r="D117" s="36"/>
      <c r="E117" s="36"/>
      <c r="F117" s="36"/>
      <c r="G117" s="36"/>
      <c r="H117" s="9"/>
      <c r="I117" s="9"/>
      <c r="J117" s="9"/>
      <c r="K117" s="9"/>
      <c r="L117" s="36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37"/>
      <c r="Y117" s="38"/>
      <c r="Z117" s="39"/>
      <c r="AA117" s="39"/>
      <c r="AB117" s="9"/>
      <c r="AC117" s="9"/>
      <c r="AD117" s="9"/>
      <c r="AE117" s="9"/>
      <c r="AF117" s="9"/>
      <c r="AG117" s="40"/>
      <c r="AH117" s="10" t="str">
        <f aca="false">IF(C117="","",C117&amp;"|"&amp;D117&amp;"|"&amp;E117&amp;"|"&amp;H117&amp;"|"&amp;S117)</f>
        <v/>
      </c>
    </row>
    <row r="118" customFormat="false" ht="15" hidden="false" customHeight="false" outlineLevel="0" collapsed="false">
      <c r="A118" s="10" t="str">
        <f aca="false">IF(C118="","","DRN-"&amp;IFERROR(VLOOKUP(C118,Lists!$A$4:$B$21,2,0),"??")&amp;"-"&amp;TEXT(D118,"0000")&amp;"x"&amp;TEXT(E118,"0000")&amp;"-"&amp;IFERROR(VLOOKUP(H118,Lists!$D$4:$E$18,2,0),"??")&amp;"-"&amp;R118)</f>
        <v/>
      </c>
      <c r="B118" s="10" t="str">
        <f aca="false">IF(C118="","",C118&amp;" "&amp;D118&amp;"W x "&amp;E118&amp;"D, "&amp;H118&amp;", "&amp;I118)</f>
        <v/>
      </c>
      <c r="C118" s="9"/>
      <c r="D118" s="36"/>
      <c r="E118" s="36"/>
      <c r="F118" s="36"/>
      <c r="G118" s="36"/>
      <c r="H118" s="9"/>
      <c r="I118" s="9"/>
      <c r="J118" s="9"/>
      <c r="K118" s="9"/>
      <c r="L118" s="3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37"/>
      <c r="Y118" s="38"/>
      <c r="Z118" s="39"/>
      <c r="AA118" s="39"/>
      <c r="AB118" s="9"/>
      <c r="AC118" s="9"/>
      <c r="AD118" s="9"/>
      <c r="AE118" s="9"/>
      <c r="AF118" s="9"/>
      <c r="AG118" s="40"/>
      <c r="AH118" s="10" t="str">
        <f aca="false">IF(C118="","",C118&amp;"|"&amp;D118&amp;"|"&amp;E118&amp;"|"&amp;H118&amp;"|"&amp;S118)</f>
        <v/>
      </c>
    </row>
    <row r="119" customFormat="false" ht="15" hidden="false" customHeight="false" outlineLevel="0" collapsed="false">
      <c r="A119" s="10" t="str">
        <f aca="false">IF(C119="","","DRN-"&amp;IFERROR(VLOOKUP(C119,Lists!$A$4:$B$21,2,0),"??")&amp;"-"&amp;TEXT(D119,"0000")&amp;"x"&amp;TEXT(E119,"0000")&amp;"-"&amp;IFERROR(VLOOKUP(H119,Lists!$D$4:$E$18,2,0),"??")&amp;"-"&amp;R119)</f>
        <v/>
      </c>
      <c r="B119" s="10" t="str">
        <f aca="false">IF(C119="","",C119&amp;" "&amp;D119&amp;"W x "&amp;E119&amp;"D, "&amp;H119&amp;", "&amp;I119)</f>
        <v/>
      </c>
      <c r="C119" s="9"/>
      <c r="D119" s="36"/>
      <c r="E119" s="36"/>
      <c r="F119" s="36"/>
      <c r="G119" s="36"/>
      <c r="H119" s="9"/>
      <c r="I119" s="9"/>
      <c r="J119" s="9"/>
      <c r="K119" s="9"/>
      <c r="L119" s="3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37"/>
      <c r="Y119" s="38"/>
      <c r="Z119" s="39"/>
      <c r="AA119" s="39"/>
      <c r="AB119" s="9"/>
      <c r="AC119" s="9"/>
      <c r="AD119" s="9"/>
      <c r="AE119" s="9"/>
      <c r="AF119" s="9"/>
      <c r="AG119" s="40"/>
      <c r="AH119" s="10" t="str">
        <f aca="false">IF(C119="","",C119&amp;"|"&amp;D119&amp;"|"&amp;E119&amp;"|"&amp;H119&amp;"|"&amp;S119)</f>
        <v/>
      </c>
    </row>
    <row r="120" customFormat="false" ht="15" hidden="false" customHeight="false" outlineLevel="0" collapsed="false">
      <c r="A120" s="10" t="str">
        <f aca="false">IF(C120="","","DRN-"&amp;IFERROR(VLOOKUP(C120,Lists!$A$4:$B$21,2,0),"??")&amp;"-"&amp;TEXT(D120,"0000")&amp;"x"&amp;TEXT(E120,"0000")&amp;"-"&amp;IFERROR(VLOOKUP(H120,Lists!$D$4:$E$18,2,0),"??")&amp;"-"&amp;R120)</f>
        <v/>
      </c>
      <c r="B120" s="10" t="str">
        <f aca="false">IF(C120="","",C120&amp;" "&amp;D120&amp;"W x "&amp;E120&amp;"D, "&amp;H120&amp;", "&amp;I120)</f>
        <v/>
      </c>
      <c r="C120" s="9"/>
      <c r="D120" s="36"/>
      <c r="E120" s="36"/>
      <c r="F120" s="36"/>
      <c r="G120" s="36"/>
      <c r="H120" s="9"/>
      <c r="I120" s="9"/>
      <c r="J120" s="9"/>
      <c r="K120" s="9"/>
      <c r="L120" s="3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37"/>
      <c r="Y120" s="38"/>
      <c r="Z120" s="39"/>
      <c r="AA120" s="39"/>
      <c r="AB120" s="9"/>
      <c r="AC120" s="9"/>
      <c r="AD120" s="9"/>
      <c r="AE120" s="9"/>
      <c r="AF120" s="9"/>
      <c r="AG120" s="40"/>
      <c r="AH120" s="10" t="str">
        <f aca="false">IF(C120="","",C120&amp;"|"&amp;D120&amp;"|"&amp;E120&amp;"|"&amp;H120&amp;"|"&amp;S120)</f>
        <v/>
      </c>
    </row>
    <row r="121" customFormat="false" ht="15" hidden="false" customHeight="false" outlineLevel="0" collapsed="false">
      <c r="A121" s="10" t="str">
        <f aca="false">IF(C121="","","DRN-"&amp;IFERROR(VLOOKUP(C121,Lists!$A$4:$B$21,2,0),"??")&amp;"-"&amp;TEXT(D121,"0000")&amp;"x"&amp;TEXT(E121,"0000")&amp;"-"&amp;IFERROR(VLOOKUP(H121,Lists!$D$4:$E$18,2,0),"??")&amp;"-"&amp;R121)</f>
        <v/>
      </c>
      <c r="B121" s="10" t="str">
        <f aca="false">IF(C121="","",C121&amp;" "&amp;D121&amp;"W x "&amp;E121&amp;"D, "&amp;H121&amp;", "&amp;I121)</f>
        <v/>
      </c>
      <c r="C121" s="9"/>
      <c r="D121" s="36"/>
      <c r="E121" s="36"/>
      <c r="F121" s="36"/>
      <c r="G121" s="36"/>
      <c r="H121" s="9"/>
      <c r="I121" s="9"/>
      <c r="J121" s="9"/>
      <c r="K121" s="9"/>
      <c r="L121" s="3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37"/>
      <c r="Y121" s="38"/>
      <c r="Z121" s="39"/>
      <c r="AA121" s="39"/>
      <c r="AB121" s="9"/>
      <c r="AC121" s="9"/>
      <c r="AD121" s="9"/>
      <c r="AE121" s="9"/>
      <c r="AF121" s="9"/>
      <c r="AG121" s="40"/>
      <c r="AH121" s="10" t="str">
        <f aca="false">IF(C121="","",C121&amp;"|"&amp;D121&amp;"|"&amp;E121&amp;"|"&amp;H121&amp;"|"&amp;S121)</f>
        <v/>
      </c>
    </row>
    <row r="122" customFormat="false" ht="15" hidden="false" customHeight="false" outlineLevel="0" collapsed="false">
      <c r="A122" s="10" t="str">
        <f aca="false">IF(C122="","","DRN-"&amp;IFERROR(VLOOKUP(C122,Lists!$A$4:$B$21,2,0),"??")&amp;"-"&amp;TEXT(D122,"0000")&amp;"x"&amp;TEXT(E122,"0000")&amp;"-"&amp;IFERROR(VLOOKUP(H122,Lists!$D$4:$E$18,2,0),"??")&amp;"-"&amp;R122)</f>
        <v/>
      </c>
      <c r="B122" s="10" t="str">
        <f aca="false">IF(C122="","",C122&amp;" "&amp;D122&amp;"W x "&amp;E122&amp;"D, "&amp;H122&amp;", "&amp;I122)</f>
        <v/>
      </c>
      <c r="C122" s="9"/>
      <c r="D122" s="36"/>
      <c r="E122" s="36"/>
      <c r="F122" s="36"/>
      <c r="G122" s="36"/>
      <c r="H122" s="9"/>
      <c r="I122" s="9"/>
      <c r="J122" s="9"/>
      <c r="K122" s="9"/>
      <c r="L122" s="3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37"/>
      <c r="Y122" s="38"/>
      <c r="Z122" s="39"/>
      <c r="AA122" s="39"/>
      <c r="AB122" s="9"/>
      <c r="AC122" s="9"/>
      <c r="AD122" s="9"/>
      <c r="AE122" s="9"/>
      <c r="AF122" s="9"/>
      <c r="AG122" s="40"/>
      <c r="AH122" s="10" t="str">
        <f aca="false">IF(C122="","",C122&amp;"|"&amp;D122&amp;"|"&amp;E122&amp;"|"&amp;H122&amp;"|"&amp;S122)</f>
        <v/>
      </c>
    </row>
    <row r="123" customFormat="false" ht="15" hidden="false" customHeight="false" outlineLevel="0" collapsed="false">
      <c r="A123" s="10" t="str">
        <f aca="false">IF(C123="","","DRN-"&amp;IFERROR(VLOOKUP(C123,Lists!$A$4:$B$21,2,0),"??")&amp;"-"&amp;TEXT(D123,"0000")&amp;"x"&amp;TEXT(E123,"0000")&amp;"-"&amp;IFERROR(VLOOKUP(H123,Lists!$D$4:$E$18,2,0),"??")&amp;"-"&amp;R123)</f>
        <v/>
      </c>
      <c r="B123" s="10" t="str">
        <f aca="false">IF(C123="","",C123&amp;" "&amp;D123&amp;"W x "&amp;E123&amp;"D, "&amp;H123&amp;", "&amp;I123)</f>
        <v/>
      </c>
      <c r="C123" s="9"/>
      <c r="D123" s="36"/>
      <c r="E123" s="36"/>
      <c r="F123" s="36"/>
      <c r="G123" s="36"/>
      <c r="H123" s="9"/>
      <c r="I123" s="9"/>
      <c r="J123" s="9"/>
      <c r="K123" s="9"/>
      <c r="L123" s="3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37"/>
      <c r="Y123" s="38"/>
      <c r="Z123" s="39"/>
      <c r="AA123" s="39"/>
      <c r="AB123" s="9"/>
      <c r="AC123" s="9"/>
      <c r="AD123" s="9"/>
      <c r="AE123" s="9"/>
      <c r="AF123" s="9"/>
      <c r="AG123" s="40"/>
      <c r="AH123" s="10" t="str">
        <f aca="false">IF(C123="","",C123&amp;"|"&amp;D123&amp;"|"&amp;E123&amp;"|"&amp;H123&amp;"|"&amp;S123)</f>
        <v/>
      </c>
    </row>
    <row r="124" customFormat="false" ht="15" hidden="false" customHeight="false" outlineLevel="0" collapsed="false">
      <c r="A124" s="10" t="str">
        <f aca="false">IF(C124="","","DRN-"&amp;IFERROR(VLOOKUP(C124,Lists!$A$4:$B$21,2,0),"??")&amp;"-"&amp;TEXT(D124,"0000")&amp;"x"&amp;TEXT(E124,"0000")&amp;"-"&amp;IFERROR(VLOOKUP(H124,Lists!$D$4:$E$18,2,0),"??")&amp;"-"&amp;R124)</f>
        <v/>
      </c>
      <c r="B124" s="10" t="str">
        <f aca="false">IF(C124="","",C124&amp;" "&amp;D124&amp;"W x "&amp;E124&amp;"D, "&amp;H124&amp;", "&amp;I124)</f>
        <v/>
      </c>
      <c r="C124" s="9"/>
      <c r="D124" s="36"/>
      <c r="E124" s="36"/>
      <c r="F124" s="36"/>
      <c r="G124" s="36"/>
      <c r="H124" s="9"/>
      <c r="I124" s="9"/>
      <c r="J124" s="9"/>
      <c r="K124" s="9"/>
      <c r="L124" s="3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37"/>
      <c r="Y124" s="38"/>
      <c r="Z124" s="39"/>
      <c r="AA124" s="39"/>
      <c r="AB124" s="9"/>
      <c r="AC124" s="9"/>
      <c r="AD124" s="9"/>
      <c r="AE124" s="9"/>
      <c r="AF124" s="9"/>
      <c r="AG124" s="40"/>
      <c r="AH124" s="10" t="str">
        <f aca="false">IF(C124="","",C124&amp;"|"&amp;D124&amp;"|"&amp;E124&amp;"|"&amp;H124&amp;"|"&amp;S124)</f>
        <v/>
      </c>
    </row>
    <row r="125" customFormat="false" ht="15" hidden="false" customHeight="false" outlineLevel="0" collapsed="false">
      <c r="A125" s="10" t="str">
        <f aca="false">IF(C125="","","DRN-"&amp;IFERROR(VLOOKUP(C125,Lists!$A$4:$B$21,2,0),"??")&amp;"-"&amp;TEXT(D125,"0000")&amp;"x"&amp;TEXT(E125,"0000")&amp;"-"&amp;IFERROR(VLOOKUP(H125,Lists!$D$4:$E$18,2,0),"??")&amp;"-"&amp;R125)</f>
        <v/>
      </c>
      <c r="B125" s="10" t="str">
        <f aca="false">IF(C125="","",C125&amp;" "&amp;D125&amp;"W x "&amp;E125&amp;"D, "&amp;H125&amp;", "&amp;I125)</f>
        <v/>
      </c>
      <c r="C125" s="9"/>
      <c r="D125" s="36"/>
      <c r="E125" s="36"/>
      <c r="F125" s="36"/>
      <c r="G125" s="36"/>
      <c r="H125" s="9"/>
      <c r="I125" s="9"/>
      <c r="J125" s="9"/>
      <c r="K125" s="9"/>
      <c r="L125" s="3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37"/>
      <c r="Y125" s="38"/>
      <c r="Z125" s="39"/>
      <c r="AA125" s="39"/>
      <c r="AB125" s="9"/>
      <c r="AC125" s="9"/>
      <c r="AD125" s="9"/>
      <c r="AE125" s="9"/>
      <c r="AF125" s="9"/>
      <c r="AG125" s="40"/>
      <c r="AH125" s="10" t="str">
        <f aca="false">IF(C125="","",C125&amp;"|"&amp;D125&amp;"|"&amp;E125&amp;"|"&amp;H125&amp;"|"&amp;S125)</f>
        <v/>
      </c>
    </row>
    <row r="126" customFormat="false" ht="15" hidden="false" customHeight="false" outlineLevel="0" collapsed="false">
      <c r="A126" s="10" t="str">
        <f aca="false">IF(C126="","","DRN-"&amp;IFERROR(VLOOKUP(C126,Lists!$A$4:$B$21,2,0),"??")&amp;"-"&amp;TEXT(D126,"0000")&amp;"x"&amp;TEXT(E126,"0000")&amp;"-"&amp;IFERROR(VLOOKUP(H126,Lists!$D$4:$E$18,2,0),"??")&amp;"-"&amp;R126)</f>
        <v/>
      </c>
      <c r="B126" s="10" t="str">
        <f aca="false">IF(C126="","",C126&amp;" "&amp;D126&amp;"W x "&amp;E126&amp;"D, "&amp;H126&amp;", "&amp;I126)</f>
        <v/>
      </c>
      <c r="C126" s="9"/>
      <c r="D126" s="36"/>
      <c r="E126" s="36"/>
      <c r="F126" s="36"/>
      <c r="G126" s="36"/>
      <c r="H126" s="9"/>
      <c r="I126" s="9"/>
      <c r="J126" s="9"/>
      <c r="K126" s="9"/>
      <c r="L126" s="3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37"/>
      <c r="Y126" s="38"/>
      <c r="Z126" s="39"/>
      <c r="AA126" s="39"/>
      <c r="AB126" s="9"/>
      <c r="AC126" s="9"/>
      <c r="AD126" s="9"/>
      <c r="AE126" s="9"/>
      <c r="AF126" s="9"/>
      <c r="AG126" s="40"/>
      <c r="AH126" s="10" t="str">
        <f aca="false">IF(C126="","",C126&amp;"|"&amp;D126&amp;"|"&amp;E126&amp;"|"&amp;H126&amp;"|"&amp;S126)</f>
        <v/>
      </c>
    </row>
    <row r="127" customFormat="false" ht="15" hidden="false" customHeight="false" outlineLevel="0" collapsed="false">
      <c r="A127" s="10" t="str">
        <f aca="false">IF(C127="","","DRN-"&amp;IFERROR(VLOOKUP(C127,Lists!$A$4:$B$21,2,0),"??")&amp;"-"&amp;TEXT(D127,"0000")&amp;"x"&amp;TEXT(E127,"0000")&amp;"-"&amp;IFERROR(VLOOKUP(H127,Lists!$D$4:$E$18,2,0),"??")&amp;"-"&amp;R127)</f>
        <v/>
      </c>
      <c r="B127" s="10" t="str">
        <f aca="false">IF(C127="","",C127&amp;" "&amp;D127&amp;"W x "&amp;E127&amp;"D, "&amp;H127&amp;", "&amp;I127)</f>
        <v/>
      </c>
      <c r="C127" s="9"/>
      <c r="D127" s="36"/>
      <c r="E127" s="36"/>
      <c r="F127" s="36"/>
      <c r="G127" s="36"/>
      <c r="H127" s="9"/>
      <c r="I127" s="9"/>
      <c r="J127" s="9"/>
      <c r="K127" s="9"/>
      <c r="L127" s="3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37"/>
      <c r="Y127" s="38"/>
      <c r="Z127" s="39"/>
      <c r="AA127" s="39"/>
      <c r="AB127" s="9"/>
      <c r="AC127" s="9"/>
      <c r="AD127" s="9"/>
      <c r="AE127" s="9"/>
      <c r="AF127" s="9"/>
      <c r="AG127" s="40"/>
      <c r="AH127" s="10" t="str">
        <f aca="false">IF(C127="","",C127&amp;"|"&amp;D127&amp;"|"&amp;E127&amp;"|"&amp;H127&amp;"|"&amp;S127)</f>
        <v/>
      </c>
    </row>
    <row r="128" customFormat="false" ht="15" hidden="false" customHeight="false" outlineLevel="0" collapsed="false">
      <c r="A128" s="10" t="str">
        <f aca="false">IF(C128="","","DRN-"&amp;IFERROR(VLOOKUP(C128,Lists!$A$4:$B$21,2,0),"??")&amp;"-"&amp;TEXT(D128,"0000")&amp;"x"&amp;TEXT(E128,"0000")&amp;"-"&amp;IFERROR(VLOOKUP(H128,Lists!$D$4:$E$18,2,0),"??")&amp;"-"&amp;R128)</f>
        <v/>
      </c>
      <c r="B128" s="10" t="str">
        <f aca="false">IF(C128="","",C128&amp;" "&amp;D128&amp;"W x "&amp;E128&amp;"D, "&amp;H128&amp;", "&amp;I128)</f>
        <v/>
      </c>
      <c r="C128" s="9"/>
      <c r="D128" s="36"/>
      <c r="E128" s="36"/>
      <c r="F128" s="36"/>
      <c r="G128" s="36"/>
      <c r="H128" s="9"/>
      <c r="I128" s="9"/>
      <c r="J128" s="9"/>
      <c r="K128" s="9"/>
      <c r="L128" s="3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37"/>
      <c r="Y128" s="38"/>
      <c r="Z128" s="39"/>
      <c r="AA128" s="39"/>
      <c r="AB128" s="9"/>
      <c r="AC128" s="9"/>
      <c r="AD128" s="9"/>
      <c r="AE128" s="9"/>
      <c r="AF128" s="9"/>
      <c r="AG128" s="40"/>
      <c r="AH128" s="10" t="str">
        <f aca="false">IF(C128="","",C128&amp;"|"&amp;D128&amp;"|"&amp;E128&amp;"|"&amp;H128&amp;"|"&amp;S128)</f>
        <v/>
      </c>
    </row>
    <row r="129" customFormat="false" ht="15" hidden="false" customHeight="false" outlineLevel="0" collapsed="false">
      <c r="A129" s="10" t="str">
        <f aca="false">IF(C129="","","DRN-"&amp;IFERROR(VLOOKUP(C129,Lists!$A$4:$B$21,2,0),"??")&amp;"-"&amp;TEXT(D129,"0000")&amp;"x"&amp;TEXT(E129,"0000")&amp;"-"&amp;IFERROR(VLOOKUP(H129,Lists!$D$4:$E$18,2,0),"??")&amp;"-"&amp;R129)</f>
        <v/>
      </c>
      <c r="B129" s="10" t="str">
        <f aca="false">IF(C129="","",C129&amp;" "&amp;D129&amp;"W x "&amp;E129&amp;"D, "&amp;H129&amp;", "&amp;I129)</f>
        <v/>
      </c>
      <c r="C129" s="9"/>
      <c r="D129" s="36"/>
      <c r="E129" s="36"/>
      <c r="F129" s="36"/>
      <c r="G129" s="36"/>
      <c r="H129" s="9"/>
      <c r="I129" s="9"/>
      <c r="J129" s="9"/>
      <c r="K129" s="9"/>
      <c r="L129" s="3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37"/>
      <c r="Y129" s="38"/>
      <c r="Z129" s="39"/>
      <c r="AA129" s="39"/>
      <c r="AB129" s="9"/>
      <c r="AC129" s="9"/>
      <c r="AD129" s="9"/>
      <c r="AE129" s="9"/>
      <c r="AF129" s="9"/>
      <c r="AG129" s="40"/>
      <c r="AH129" s="10" t="str">
        <f aca="false">IF(C129="","",C129&amp;"|"&amp;D129&amp;"|"&amp;E129&amp;"|"&amp;H129&amp;"|"&amp;S129)</f>
        <v/>
      </c>
    </row>
    <row r="130" customFormat="false" ht="15" hidden="false" customHeight="false" outlineLevel="0" collapsed="false">
      <c r="A130" s="10" t="str">
        <f aca="false">IF(C130="","","DRN-"&amp;IFERROR(VLOOKUP(C130,Lists!$A$4:$B$21,2,0),"??")&amp;"-"&amp;TEXT(D130,"0000")&amp;"x"&amp;TEXT(E130,"0000")&amp;"-"&amp;IFERROR(VLOOKUP(H130,Lists!$D$4:$E$18,2,0),"??")&amp;"-"&amp;R130)</f>
        <v/>
      </c>
      <c r="B130" s="10" t="str">
        <f aca="false">IF(C130="","",C130&amp;" "&amp;D130&amp;"W x "&amp;E130&amp;"D, "&amp;H130&amp;", "&amp;I130)</f>
        <v/>
      </c>
      <c r="C130" s="9"/>
      <c r="D130" s="36"/>
      <c r="E130" s="36"/>
      <c r="F130" s="36"/>
      <c r="G130" s="36"/>
      <c r="H130" s="9"/>
      <c r="I130" s="9"/>
      <c r="J130" s="9"/>
      <c r="K130" s="9"/>
      <c r="L130" s="3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37"/>
      <c r="Y130" s="38"/>
      <c r="Z130" s="39"/>
      <c r="AA130" s="39"/>
      <c r="AB130" s="9"/>
      <c r="AC130" s="9"/>
      <c r="AD130" s="9"/>
      <c r="AE130" s="9"/>
      <c r="AF130" s="9"/>
      <c r="AG130" s="40"/>
      <c r="AH130" s="10" t="str">
        <f aca="false">IF(C130="","",C130&amp;"|"&amp;D130&amp;"|"&amp;E130&amp;"|"&amp;H130&amp;"|"&amp;S130)</f>
        <v/>
      </c>
    </row>
    <row r="131" customFormat="false" ht="15" hidden="false" customHeight="false" outlineLevel="0" collapsed="false">
      <c r="A131" s="10" t="str">
        <f aca="false">IF(C131="","","DRN-"&amp;IFERROR(VLOOKUP(C131,Lists!$A$4:$B$21,2,0),"??")&amp;"-"&amp;TEXT(D131,"0000")&amp;"x"&amp;TEXT(E131,"0000")&amp;"-"&amp;IFERROR(VLOOKUP(H131,Lists!$D$4:$E$18,2,0),"??")&amp;"-"&amp;R131)</f>
        <v/>
      </c>
      <c r="B131" s="10" t="str">
        <f aca="false">IF(C131="","",C131&amp;" "&amp;D131&amp;"W x "&amp;E131&amp;"D, "&amp;H131&amp;", "&amp;I131)</f>
        <v/>
      </c>
      <c r="C131" s="9"/>
      <c r="D131" s="36"/>
      <c r="E131" s="36"/>
      <c r="F131" s="36"/>
      <c r="G131" s="36"/>
      <c r="H131" s="9"/>
      <c r="I131" s="9"/>
      <c r="J131" s="9"/>
      <c r="K131" s="9"/>
      <c r="L131" s="3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37"/>
      <c r="Y131" s="38"/>
      <c r="Z131" s="39"/>
      <c r="AA131" s="39"/>
      <c r="AB131" s="9"/>
      <c r="AC131" s="9"/>
      <c r="AD131" s="9"/>
      <c r="AE131" s="9"/>
      <c r="AF131" s="9"/>
      <c r="AG131" s="40"/>
      <c r="AH131" s="10" t="str">
        <f aca="false">IF(C131="","",C131&amp;"|"&amp;D131&amp;"|"&amp;E131&amp;"|"&amp;H131&amp;"|"&amp;S131)</f>
        <v/>
      </c>
    </row>
    <row r="132" customFormat="false" ht="15" hidden="false" customHeight="false" outlineLevel="0" collapsed="false">
      <c r="A132" s="10" t="str">
        <f aca="false">IF(C132="","","DRN-"&amp;IFERROR(VLOOKUP(C132,Lists!$A$4:$B$21,2,0),"??")&amp;"-"&amp;TEXT(D132,"0000")&amp;"x"&amp;TEXT(E132,"0000")&amp;"-"&amp;IFERROR(VLOOKUP(H132,Lists!$D$4:$E$18,2,0),"??")&amp;"-"&amp;R132)</f>
        <v/>
      </c>
      <c r="B132" s="10" t="str">
        <f aca="false">IF(C132="","",C132&amp;" "&amp;D132&amp;"W x "&amp;E132&amp;"D, "&amp;H132&amp;", "&amp;I132)</f>
        <v/>
      </c>
      <c r="C132" s="9"/>
      <c r="D132" s="36"/>
      <c r="E132" s="36"/>
      <c r="F132" s="36"/>
      <c r="G132" s="36"/>
      <c r="H132" s="9"/>
      <c r="I132" s="9"/>
      <c r="J132" s="9"/>
      <c r="K132" s="9"/>
      <c r="L132" s="3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37"/>
      <c r="Y132" s="38"/>
      <c r="Z132" s="39"/>
      <c r="AA132" s="39"/>
      <c r="AB132" s="9"/>
      <c r="AC132" s="9"/>
      <c r="AD132" s="9"/>
      <c r="AE132" s="9"/>
      <c r="AF132" s="9"/>
      <c r="AG132" s="40"/>
      <c r="AH132" s="10" t="str">
        <f aca="false">IF(C132="","",C132&amp;"|"&amp;D132&amp;"|"&amp;E132&amp;"|"&amp;H132&amp;"|"&amp;S132)</f>
        <v/>
      </c>
    </row>
    <row r="133" customFormat="false" ht="15" hidden="false" customHeight="false" outlineLevel="0" collapsed="false">
      <c r="A133" s="10" t="str">
        <f aca="false">IF(C133="","","DRN-"&amp;IFERROR(VLOOKUP(C133,Lists!$A$4:$B$21,2,0),"??")&amp;"-"&amp;TEXT(D133,"0000")&amp;"x"&amp;TEXT(E133,"0000")&amp;"-"&amp;IFERROR(VLOOKUP(H133,Lists!$D$4:$E$18,2,0),"??")&amp;"-"&amp;R133)</f>
        <v/>
      </c>
      <c r="B133" s="10" t="str">
        <f aca="false">IF(C133="","",C133&amp;" "&amp;D133&amp;"W x "&amp;E133&amp;"D, "&amp;H133&amp;", "&amp;I133)</f>
        <v/>
      </c>
      <c r="C133" s="9"/>
      <c r="D133" s="36"/>
      <c r="E133" s="36"/>
      <c r="F133" s="36"/>
      <c r="G133" s="36"/>
      <c r="H133" s="9"/>
      <c r="I133" s="9"/>
      <c r="J133" s="9"/>
      <c r="K133" s="9"/>
      <c r="L133" s="3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37"/>
      <c r="Y133" s="38"/>
      <c r="Z133" s="39"/>
      <c r="AA133" s="39"/>
      <c r="AB133" s="9"/>
      <c r="AC133" s="9"/>
      <c r="AD133" s="9"/>
      <c r="AE133" s="9"/>
      <c r="AF133" s="9"/>
      <c r="AG133" s="40"/>
      <c r="AH133" s="10" t="str">
        <f aca="false">IF(C133="","",C133&amp;"|"&amp;D133&amp;"|"&amp;E133&amp;"|"&amp;H133&amp;"|"&amp;S133)</f>
        <v/>
      </c>
    </row>
    <row r="134" customFormat="false" ht="15" hidden="false" customHeight="false" outlineLevel="0" collapsed="false">
      <c r="A134" s="10" t="str">
        <f aca="false">IF(C134="","","DRN-"&amp;IFERROR(VLOOKUP(C134,Lists!$A$4:$B$21,2,0),"??")&amp;"-"&amp;TEXT(D134,"0000")&amp;"x"&amp;TEXT(E134,"0000")&amp;"-"&amp;IFERROR(VLOOKUP(H134,Lists!$D$4:$E$18,2,0),"??")&amp;"-"&amp;R134)</f>
        <v/>
      </c>
      <c r="B134" s="10" t="str">
        <f aca="false">IF(C134="","",C134&amp;" "&amp;D134&amp;"W x "&amp;E134&amp;"D, "&amp;H134&amp;", "&amp;I134)</f>
        <v/>
      </c>
      <c r="C134" s="9"/>
      <c r="D134" s="36"/>
      <c r="E134" s="36"/>
      <c r="F134" s="36"/>
      <c r="G134" s="36"/>
      <c r="H134" s="9"/>
      <c r="I134" s="9"/>
      <c r="J134" s="9"/>
      <c r="K134" s="9"/>
      <c r="L134" s="3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37"/>
      <c r="Y134" s="38"/>
      <c r="Z134" s="39"/>
      <c r="AA134" s="39"/>
      <c r="AB134" s="9"/>
      <c r="AC134" s="9"/>
      <c r="AD134" s="9"/>
      <c r="AE134" s="9"/>
      <c r="AF134" s="9"/>
      <c r="AG134" s="40"/>
      <c r="AH134" s="10" t="str">
        <f aca="false">IF(C134="","",C134&amp;"|"&amp;D134&amp;"|"&amp;E134&amp;"|"&amp;H134&amp;"|"&amp;S134)</f>
        <v/>
      </c>
    </row>
    <row r="135" customFormat="false" ht="15" hidden="false" customHeight="false" outlineLevel="0" collapsed="false">
      <c r="A135" s="10" t="str">
        <f aca="false">IF(C135="","","DRN-"&amp;IFERROR(VLOOKUP(C135,Lists!$A$4:$B$21,2,0),"??")&amp;"-"&amp;TEXT(D135,"0000")&amp;"x"&amp;TEXT(E135,"0000")&amp;"-"&amp;IFERROR(VLOOKUP(H135,Lists!$D$4:$E$18,2,0),"??")&amp;"-"&amp;R135)</f>
        <v/>
      </c>
      <c r="B135" s="10" t="str">
        <f aca="false">IF(C135="","",C135&amp;" "&amp;D135&amp;"W x "&amp;E135&amp;"D, "&amp;H135&amp;", "&amp;I135)</f>
        <v/>
      </c>
      <c r="C135" s="9"/>
      <c r="D135" s="36"/>
      <c r="E135" s="36"/>
      <c r="F135" s="36"/>
      <c r="G135" s="36"/>
      <c r="H135" s="9"/>
      <c r="I135" s="9"/>
      <c r="J135" s="9"/>
      <c r="K135" s="9"/>
      <c r="L135" s="3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37"/>
      <c r="Y135" s="38"/>
      <c r="Z135" s="39"/>
      <c r="AA135" s="39"/>
      <c r="AB135" s="9"/>
      <c r="AC135" s="9"/>
      <c r="AD135" s="9"/>
      <c r="AE135" s="9"/>
      <c r="AF135" s="9"/>
      <c r="AG135" s="40"/>
      <c r="AH135" s="10" t="str">
        <f aca="false">IF(C135="","",C135&amp;"|"&amp;D135&amp;"|"&amp;E135&amp;"|"&amp;H135&amp;"|"&amp;S135)</f>
        <v/>
      </c>
    </row>
    <row r="136" customFormat="false" ht="15" hidden="false" customHeight="false" outlineLevel="0" collapsed="false">
      <c r="A136" s="10" t="str">
        <f aca="false">IF(C136="","","DRN-"&amp;IFERROR(VLOOKUP(C136,Lists!$A$4:$B$21,2,0),"??")&amp;"-"&amp;TEXT(D136,"0000")&amp;"x"&amp;TEXT(E136,"0000")&amp;"-"&amp;IFERROR(VLOOKUP(H136,Lists!$D$4:$E$18,2,0),"??")&amp;"-"&amp;R136)</f>
        <v/>
      </c>
      <c r="B136" s="10" t="str">
        <f aca="false">IF(C136="","",C136&amp;" "&amp;D136&amp;"W x "&amp;E136&amp;"D, "&amp;H136&amp;", "&amp;I136)</f>
        <v/>
      </c>
      <c r="C136" s="9"/>
      <c r="D136" s="36"/>
      <c r="E136" s="36"/>
      <c r="F136" s="36"/>
      <c r="G136" s="36"/>
      <c r="H136" s="9"/>
      <c r="I136" s="9"/>
      <c r="J136" s="9"/>
      <c r="K136" s="9"/>
      <c r="L136" s="3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37"/>
      <c r="Y136" s="38"/>
      <c r="Z136" s="39"/>
      <c r="AA136" s="39"/>
      <c r="AB136" s="9"/>
      <c r="AC136" s="9"/>
      <c r="AD136" s="9"/>
      <c r="AE136" s="9"/>
      <c r="AF136" s="9"/>
      <c r="AG136" s="40"/>
      <c r="AH136" s="10" t="str">
        <f aca="false">IF(C136="","",C136&amp;"|"&amp;D136&amp;"|"&amp;E136&amp;"|"&amp;H136&amp;"|"&amp;S136)</f>
        <v/>
      </c>
    </row>
    <row r="137" customFormat="false" ht="15" hidden="false" customHeight="false" outlineLevel="0" collapsed="false">
      <c r="A137" s="10" t="str">
        <f aca="false">IF(C137="","","DRN-"&amp;IFERROR(VLOOKUP(C137,Lists!$A$4:$B$21,2,0),"??")&amp;"-"&amp;TEXT(D137,"0000")&amp;"x"&amp;TEXT(E137,"0000")&amp;"-"&amp;IFERROR(VLOOKUP(H137,Lists!$D$4:$E$18,2,0),"??")&amp;"-"&amp;R137)</f>
        <v/>
      </c>
      <c r="B137" s="10" t="str">
        <f aca="false">IF(C137="","",C137&amp;" "&amp;D137&amp;"W x "&amp;E137&amp;"D, "&amp;H137&amp;", "&amp;I137)</f>
        <v/>
      </c>
      <c r="C137" s="9"/>
      <c r="D137" s="36"/>
      <c r="E137" s="36"/>
      <c r="F137" s="36"/>
      <c r="G137" s="36"/>
      <c r="H137" s="9"/>
      <c r="I137" s="9"/>
      <c r="J137" s="9"/>
      <c r="K137" s="9"/>
      <c r="L137" s="3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37"/>
      <c r="Y137" s="38"/>
      <c r="Z137" s="39"/>
      <c r="AA137" s="39"/>
      <c r="AB137" s="9"/>
      <c r="AC137" s="9"/>
      <c r="AD137" s="9"/>
      <c r="AE137" s="9"/>
      <c r="AF137" s="9"/>
      <c r="AG137" s="40"/>
      <c r="AH137" s="10" t="str">
        <f aca="false">IF(C137="","",C137&amp;"|"&amp;D137&amp;"|"&amp;E137&amp;"|"&amp;H137&amp;"|"&amp;S137)</f>
        <v/>
      </c>
    </row>
    <row r="138" customFormat="false" ht="15" hidden="false" customHeight="false" outlineLevel="0" collapsed="false">
      <c r="A138" s="10" t="str">
        <f aca="false">IF(C138="","","DRN-"&amp;IFERROR(VLOOKUP(C138,Lists!$A$4:$B$21,2,0),"??")&amp;"-"&amp;TEXT(D138,"0000")&amp;"x"&amp;TEXT(E138,"0000")&amp;"-"&amp;IFERROR(VLOOKUP(H138,Lists!$D$4:$E$18,2,0),"??")&amp;"-"&amp;R138)</f>
        <v/>
      </c>
      <c r="B138" s="10" t="str">
        <f aca="false">IF(C138="","",C138&amp;" "&amp;D138&amp;"W x "&amp;E138&amp;"D, "&amp;H138&amp;", "&amp;I138)</f>
        <v/>
      </c>
      <c r="C138" s="9"/>
      <c r="D138" s="36"/>
      <c r="E138" s="36"/>
      <c r="F138" s="36"/>
      <c r="G138" s="36"/>
      <c r="H138" s="9"/>
      <c r="I138" s="9"/>
      <c r="J138" s="9"/>
      <c r="K138" s="9"/>
      <c r="L138" s="3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37"/>
      <c r="Y138" s="38"/>
      <c r="Z138" s="39"/>
      <c r="AA138" s="39"/>
      <c r="AB138" s="9"/>
      <c r="AC138" s="9"/>
      <c r="AD138" s="9"/>
      <c r="AE138" s="9"/>
      <c r="AF138" s="9"/>
      <c r="AG138" s="40"/>
      <c r="AH138" s="10" t="str">
        <f aca="false">IF(C138="","",C138&amp;"|"&amp;D138&amp;"|"&amp;E138&amp;"|"&amp;H138&amp;"|"&amp;S138)</f>
        <v/>
      </c>
    </row>
    <row r="139" customFormat="false" ht="15" hidden="false" customHeight="false" outlineLevel="0" collapsed="false">
      <c r="A139" s="10" t="str">
        <f aca="false">IF(C139="","","DRN-"&amp;IFERROR(VLOOKUP(C139,Lists!$A$4:$B$21,2,0),"??")&amp;"-"&amp;TEXT(D139,"0000")&amp;"x"&amp;TEXT(E139,"0000")&amp;"-"&amp;IFERROR(VLOOKUP(H139,Lists!$D$4:$E$18,2,0),"??")&amp;"-"&amp;R139)</f>
        <v/>
      </c>
      <c r="B139" s="10" t="str">
        <f aca="false">IF(C139="","",C139&amp;" "&amp;D139&amp;"W x "&amp;E139&amp;"D, "&amp;H139&amp;", "&amp;I139)</f>
        <v/>
      </c>
      <c r="C139" s="9"/>
      <c r="D139" s="36"/>
      <c r="E139" s="36"/>
      <c r="F139" s="36"/>
      <c r="G139" s="36"/>
      <c r="H139" s="9"/>
      <c r="I139" s="9"/>
      <c r="J139" s="9"/>
      <c r="K139" s="9"/>
      <c r="L139" s="3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37"/>
      <c r="Y139" s="38"/>
      <c r="Z139" s="39"/>
      <c r="AA139" s="39"/>
      <c r="AB139" s="9"/>
      <c r="AC139" s="9"/>
      <c r="AD139" s="9"/>
      <c r="AE139" s="9"/>
      <c r="AF139" s="9"/>
      <c r="AG139" s="40"/>
      <c r="AH139" s="10" t="str">
        <f aca="false">IF(C139="","",C139&amp;"|"&amp;D139&amp;"|"&amp;E139&amp;"|"&amp;H139&amp;"|"&amp;S139)</f>
        <v/>
      </c>
    </row>
    <row r="140" customFormat="false" ht="15" hidden="false" customHeight="false" outlineLevel="0" collapsed="false">
      <c r="A140" s="10" t="str">
        <f aca="false">IF(C140="","","DRN-"&amp;IFERROR(VLOOKUP(C140,Lists!$A$4:$B$21,2,0),"??")&amp;"-"&amp;TEXT(D140,"0000")&amp;"x"&amp;TEXT(E140,"0000")&amp;"-"&amp;IFERROR(VLOOKUP(H140,Lists!$D$4:$E$18,2,0),"??")&amp;"-"&amp;R140)</f>
        <v/>
      </c>
      <c r="B140" s="10" t="str">
        <f aca="false">IF(C140="","",C140&amp;" "&amp;D140&amp;"W x "&amp;E140&amp;"D, "&amp;H140&amp;", "&amp;I140)</f>
        <v/>
      </c>
      <c r="C140" s="9"/>
      <c r="D140" s="36"/>
      <c r="E140" s="36"/>
      <c r="F140" s="36"/>
      <c r="G140" s="36"/>
      <c r="H140" s="9"/>
      <c r="I140" s="9"/>
      <c r="J140" s="9"/>
      <c r="K140" s="9"/>
      <c r="L140" s="3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37"/>
      <c r="Y140" s="38"/>
      <c r="Z140" s="39"/>
      <c r="AA140" s="39"/>
      <c r="AB140" s="9"/>
      <c r="AC140" s="9"/>
      <c r="AD140" s="9"/>
      <c r="AE140" s="9"/>
      <c r="AF140" s="9"/>
      <c r="AG140" s="40"/>
      <c r="AH140" s="10" t="str">
        <f aca="false">IF(C140="","",C140&amp;"|"&amp;D140&amp;"|"&amp;E140&amp;"|"&amp;H140&amp;"|"&amp;S140)</f>
        <v/>
      </c>
    </row>
    <row r="141" customFormat="false" ht="15" hidden="false" customHeight="false" outlineLevel="0" collapsed="false">
      <c r="A141" s="10" t="str">
        <f aca="false">IF(C141="","","DRN-"&amp;IFERROR(VLOOKUP(C141,Lists!$A$4:$B$21,2,0),"??")&amp;"-"&amp;TEXT(D141,"0000")&amp;"x"&amp;TEXT(E141,"0000")&amp;"-"&amp;IFERROR(VLOOKUP(H141,Lists!$D$4:$E$18,2,0),"??")&amp;"-"&amp;R141)</f>
        <v/>
      </c>
      <c r="B141" s="10" t="str">
        <f aca="false">IF(C141="","",C141&amp;" "&amp;D141&amp;"W x "&amp;E141&amp;"D, "&amp;H141&amp;", "&amp;I141)</f>
        <v/>
      </c>
      <c r="C141" s="9"/>
      <c r="D141" s="36"/>
      <c r="E141" s="36"/>
      <c r="F141" s="36"/>
      <c r="G141" s="36"/>
      <c r="H141" s="9"/>
      <c r="I141" s="9"/>
      <c r="J141" s="9"/>
      <c r="K141" s="9"/>
      <c r="L141" s="3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37"/>
      <c r="Y141" s="38"/>
      <c r="Z141" s="39"/>
      <c r="AA141" s="39"/>
      <c r="AB141" s="9"/>
      <c r="AC141" s="9"/>
      <c r="AD141" s="9"/>
      <c r="AE141" s="9"/>
      <c r="AF141" s="9"/>
      <c r="AG141" s="40"/>
      <c r="AH141" s="10" t="str">
        <f aca="false">IF(C141="","",C141&amp;"|"&amp;D141&amp;"|"&amp;E141&amp;"|"&amp;H141&amp;"|"&amp;S141)</f>
        <v/>
      </c>
    </row>
    <row r="142" customFormat="false" ht="15" hidden="false" customHeight="false" outlineLevel="0" collapsed="false">
      <c r="A142" s="10" t="str">
        <f aca="false">IF(C142="","","DRN-"&amp;IFERROR(VLOOKUP(C142,Lists!$A$4:$B$21,2,0),"??")&amp;"-"&amp;TEXT(D142,"0000")&amp;"x"&amp;TEXT(E142,"0000")&amp;"-"&amp;IFERROR(VLOOKUP(H142,Lists!$D$4:$E$18,2,0),"??")&amp;"-"&amp;R142)</f>
        <v/>
      </c>
      <c r="B142" s="10" t="str">
        <f aca="false">IF(C142="","",C142&amp;" "&amp;D142&amp;"W x "&amp;E142&amp;"D, "&amp;H142&amp;", "&amp;I142)</f>
        <v/>
      </c>
      <c r="C142" s="9"/>
      <c r="D142" s="36"/>
      <c r="E142" s="36"/>
      <c r="F142" s="36"/>
      <c r="G142" s="36"/>
      <c r="H142" s="9"/>
      <c r="I142" s="9"/>
      <c r="J142" s="9"/>
      <c r="K142" s="9"/>
      <c r="L142" s="3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37"/>
      <c r="Y142" s="38"/>
      <c r="Z142" s="39"/>
      <c r="AA142" s="39"/>
      <c r="AB142" s="9"/>
      <c r="AC142" s="9"/>
      <c r="AD142" s="9"/>
      <c r="AE142" s="9"/>
      <c r="AF142" s="9"/>
      <c r="AG142" s="40"/>
      <c r="AH142" s="10" t="str">
        <f aca="false">IF(C142="","",C142&amp;"|"&amp;D142&amp;"|"&amp;E142&amp;"|"&amp;H142&amp;"|"&amp;S142)</f>
        <v/>
      </c>
    </row>
    <row r="143" customFormat="false" ht="15" hidden="false" customHeight="false" outlineLevel="0" collapsed="false">
      <c r="A143" s="10" t="str">
        <f aca="false">IF(C143="","","DRN-"&amp;IFERROR(VLOOKUP(C143,Lists!$A$4:$B$21,2,0),"??")&amp;"-"&amp;TEXT(D143,"0000")&amp;"x"&amp;TEXT(E143,"0000")&amp;"-"&amp;IFERROR(VLOOKUP(H143,Lists!$D$4:$E$18,2,0),"??")&amp;"-"&amp;R143)</f>
        <v/>
      </c>
      <c r="B143" s="10" t="str">
        <f aca="false">IF(C143="","",C143&amp;" "&amp;D143&amp;"W x "&amp;E143&amp;"D, "&amp;H143&amp;", "&amp;I143)</f>
        <v/>
      </c>
      <c r="C143" s="9"/>
      <c r="D143" s="36"/>
      <c r="E143" s="36"/>
      <c r="F143" s="36"/>
      <c r="G143" s="36"/>
      <c r="H143" s="9"/>
      <c r="I143" s="9"/>
      <c r="J143" s="9"/>
      <c r="K143" s="9"/>
      <c r="L143" s="3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37"/>
      <c r="Y143" s="38"/>
      <c r="Z143" s="39"/>
      <c r="AA143" s="39"/>
      <c r="AB143" s="9"/>
      <c r="AC143" s="9"/>
      <c r="AD143" s="9"/>
      <c r="AE143" s="9"/>
      <c r="AF143" s="9"/>
      <c r="AG143" s="40"/>
      <c r="AH143" s="10" t="str">
        <f aca="false">IF(C143="","",C143&amp;"|"&amp;D143&amp;"|"&amp;E143&amp;"|"&amp;H143&amp;"|"&amp;S143)</f>
        <v/>
      </c>
    </row>
    <row r="144" customFormat="false" ht="15" hidden="false" customHeight="false" outlineLevel="0" collapsed="false">
      <c r="A144" s="10" t="str">
        <f aca="false">IF(C144="","","DRN-"&amp;IFERROR(VLOOKUP(C144,Lists!$A$4:$B$21,2,0),"??")&amp;"-"&amp;TEXT(D144,"0000")&amp;"x"&amp;TEXT(E144,"0000")&amp;"-"&amp;IFERROR(VLOOKUP(H144,Lists!$D$4:$E$18,2,0),"??")&amp;"-"&amp;R144)</f>
        <v/>
      </c>
      <c r="B144" s="10" t="str">
        <f aca="false">IF(C144="","",C144&amp;" "&amp;D144&amp;"W x "&amp;E144&amp;"D, "&amp;H144&amp;", "&amp;I144)</f>
        <v/>
      </c>
      <c r="C144" s="9"/>
      <c r="D144" s="36"/>
      <c r="E144" s="36"/>
      <c r="F144" s="36"/>
      <c r="G144" s="36"/>
      <c r="H144" s="9"/>
      <c r="I144" s="9"/>
      <c r="J144" s="9"/>
      <c r="K144" s="9"/>
      <c r="L144" s="3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37"/>
      <c r="Y144" s="38"/>
      <c r="Z144" s="39"/>
      <c r="AA144" s="39"/>
      <c r="AB144" s="9"/>
      <c r="AC144" s="9"/>
      <c r="AD144" s="9"/>
      <c r="AE144" s="9"/>
      <c r="AF144" s="9"/>
      <c r="AG144" s="40"/>
      <c r="AH144" s="10" t="str">
        <f aca="false">IF(C144="","",C144&amp;"|"&amp;D144&amp;"|"&amp;E144&amp;"|"&amp;H144&amp;"|"&amp;S144)</f>
        <v/>
      </c>
    </row>
    <row r="145" customFormat="false" ht="15" hidden="false" customHeight="false" outlineLevel="0" collapsed="false">
      <c r="A145" s="10" t="str">
        <f aca="false">IF(C145="","","DRN-"&amp;IFERROR(VLOOKUP(C145,Lists!$A$4:$B$21,2,0),"??")&amp;"-"&amp;TEXT(D145,"0000")&amp;"x"&amp;TEXT(E145,"0000")&amp;"-"&amp;IFERROR(VLOOKUP(H145,Lists!$D$4:$E$18,2,0),"??")&amp;"-"&amp;R145)</f>
        <v/>
      </c>
      <c r="B145" s="10" t="str">
        <f aca="false">IF(C145="","",C145&amp;" "&amp;D145&amp;"W x "&amp;E145&amp;"D, "&amp;H145&amp;", "&amp;I145)</f>
        <v/>
      </c>
      <c r="C145" s="9"/>
      <c r="D145" s="36"/>
      <c r="E145" s="36"/>
      <c r="F145" s="36"/>
      <c r="G145" s="36"/>
      <c r="H145" s="9"/>
      <c r="I145" s="9"/>
      <c r="J145" s="9"/>
      <c r="K145" s="9"/>
      <c r="L145" s="3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37"/>
      <c r="Y145" s="38"/>
      <c r="Z145" s="39"/>
      <c r="AA145" s="39"/>
      <c r="AB145" s="9"/>
      <c r="AC145" s="9"/>
      <c r="AD145" s="9"/>
      <c r="AE145" s="9"/>
      <c r="AF145" s="9"/>
      <c r="AG145" s="40"/>
      <c r="AH145" s="10" t="str">
        <f aca="false">IF(C145="","",C145&amp;"|"&amp;D145&amp;"|"&amp;E145&amp;"|"&amp;H145&amp;"|"&amp;S145)</f>
        <v/>
      </c>
    </row>
    <row r="146" customFormat="false" ht="15" hidden="false" customHeight="false" outlineLevel="0" collapsed="false">
      <c r="A146" s="10" t="str">
        <f aca="false">IF(C146="","","DRN-"&amp;IFERROR(VLOOKUP(C146,Lists!$A$4:$B$21,2,0),"??")&amp;"-"&amp;TEXT(D146,"0000")&amp;"x"&amp;TEXT(E146,"0000")&amp;"-"&amp;IFERROR(VLOOKUP(H146,Lists!$D$4:$E$18,2,0),"??")&amp;"-"&amp;R146)</f>
        <v/>
      </c>
      <c r="B146" s="10" t="str">
        <f aca="false">IF(C146="","",C146&amp;" "&amp;D146&amp;"W x "&amp;E146&amp;"D, "&amp;H146&amp;", "&amp;I146)</f>
        <v/>
      </c>
      <c r="C146" s="9"/>
      <c r="D146" s="36"/>
      <c r="E146" s="36"/>
      <c r="F146" s="36"/>
      <c r="G146" s="36"/>
      <c r="H146" s="9"/>
      <c r="I146" s="9"/>
      <c r="J146" s="9"/>
      <c r="K146" s="9"/>
      <c r="L146" s="3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37"/>
      <c r="Y146" s="38"/>
      <c r="Z146" s="39"/>
      <c r="AA146" s="39"/>
      <c r="AB146" s="9"/>
      <c r="AC146" s="9"/>
      <c r="AD146" s="9"/>
      <c r="AE146" s="9"/>
      <c r="AF146" s="9"/>
      <c r="AG146" s="40"/>
      <c r="AH146" s="10" t="str">
        <f aca="false">IF(C146="","",C146&amp;"|"&amp;D146&amp;"|"&amp;E146&amp;"|"&amp;H146&amp;"|"&amp;S146)</f>
        <v/>
      </c>
    </row>
    <row r="147" customFormat="false" ht="15" hidden="false" customHeight="false" outlineLevel="0" collapsed="false">
      <c r="A147" s="10" t="str">
        <f aca="false">IF(C147="","","DRN-"&amp;IFERROR(VLOOKUP(C147,Lists!$A$4:$B$21,2,0),"??")&amp;"-"&amp;TEXT(D147,"0000")&amp;"x"&amp;TEXT(E147,"0000")&amp;"-"&amp;IFERROR(VLOOKUP(H147,Lists!$D$4:$E$18,2,0),"??")&amp;"-"&amp;R147)</f>
        <v/>
      </c>
      <c r="B147" s="10" t="str">
        <f aca="false">IF(C147="","",C147&amp;" "&amp;D147&amp;"W x "&amp;E147&amp;"D, "&amp;H147&amp;", "&amp;I147)</f>
        <v/>
      </c>
      <c r="C147" s="9"/>
      <c r="D147" s="36"/>
      <c r="E147" s="36"/>
      <c r="F147" s="36"/>
      <c r="G147" s="36"/>
      <c r="H147" s="9"/>
      <c r="I147" s="9"/>
      <c r="J147" s="9"/>
      <c r="K147" s="9"/>
      <c r="L147" s="3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37"/>
      <c r="Y147" s="38"/>
      <c r="Z147" s="39"/>
      <c r="AA147" s="39"/>
      <c r="AB147" s="9"/>
      <c r="AC147" s="9"/>
      <c r="AD147" s="9"/>
      <c r="AE147" s="9"/>
      <c r="AF147" s="9"/>
      <c r="AG147" s="40"/>
      <c r="AH147" s="10" t="str">
        <f aca="false">IF(C147="","",C147&amp;"|"&amp;D147&amp;"|"&amp;E147&amp;"|"&amp;H147&amp;"|"&amp;S147)</f>
        <v/>
      </c>
    </row>
    <row r="148" customFormat="false" ht="15" hidden="false" customHeight="false" outlineLevel="0" collapsed="false">
      <c r="A148" s="10" t="str">
        <f aca="false">IF(C148="","","DRN-"&amp;IFERROR(VLOOKUP(C148,Lists!$A$4:$B$21,2,0),"??")&amp;"-"&amp;TEXT(D148,"0000")&amp;"x"&amp;TEXT(E148,"0000")&amp;"-"&amp;IFERROR(VLOOKUP(H148,Lists!$D$4:$E$18,2,0),"??")&amp;"-"&amp;R148)</f>
        <v/>
      </c>
      <c r="B148" s="10" t="str">
        <f aca="false">IF(C148="","",C148&amp;" "&amp;D148&amp;"W x "&amp;E148&amp;"D, "&amp;H148&amp;", "&amp;I148)</f>
        <v/>
      </c>
      <c r="C148" s="9"/>
      <c r="D148" s="36"/>
      <c r="E148" s="36"/>
      <c r="F148" s="36"/>
      <c r="G148" s="36"/>
      <c r="H148" s="9"/>
      <c r="I148" s="9"/>
      <c r="J148" s="9"/>
      <c r="K148" s="9"/>
      <c r="L148" s="3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37"/>
      <c r="Y148" s="38"/>
      <c r="Z148" s="39"/>
      <c r="AA148" s="39"/>
      <c r="AB148" s="9"/>
      <c r="AC148" s="9"/>
      <c r="AD148" s="9"/>
      <c r="AE148" s="9"/>
      <c r="AF148" s="9"/>
      <c r="AG148" s="40"/>
      <c r="AH148" s="10" t="str">
        <f aca="false">IF(C148="","",C148&amp;"|"&amp;D148&amp;"|"&amp;E148&amp;"|"&amp;H148&amp;"|"&amp;S148)</f>
        <v/>
      </c>
    </row>
    <row r="149" customFormat="false" ht="15" hidden="false" customHeight="false" outlineLevel="0" collapsed="false">
      <c r="A149" s="10" t="str">
        <f aca="false">IF(C149="","","DRN-"&amp;IFERROR(VLOOKUP(C149,Lists!$A$4:$B$21,2,0),"??")&amp;"-"&amp;TEXT(D149,"0000")&amp;"x"&amp;TEXT(E149,"0000")&amp;"-"&amp;IFERROR(VLOOKUP(H149,Lists!$D$4:$E$18,2,0),"??")&amp;"-"&amp;R149)</f>
        <v/>
      </c>
      <c r="B149" s="10" t="str">
        <f aca="false">IF(C149="","",C149&amp;" "&amp;D149&amp;"W x "&amp;E149&amp;"D, "&amp;H149&amp;", "&amp;I149)</f>
        <v/>
      </c>
      <c r="C149" s="9"/>
      <c r="D149" s="36"/>
      <c r="E149" s="36"/>
      <c r="F149" s="36"/>
      <c r="G149" s="36"/>
      <c r="H149" s="9"/>
      <c r="I149" s="9"/>
      <c r="J149" s="9"/>
      <c r="K149" s="9"/>
      <c r="L149" s="3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37"/>
      <c r="Y149" s="38"/>
      <c r="Z149" s="39"/>
      <c r="AA149" s="39"/>
      <c r="AB149" s="9"/>
      <c r="AC149" s="9"/>
      <c r="AD149" s="9"/>
      <c r="AE149" s="9"/>
      <c r="AF149" s="9"/>
      <c r="AG149" s="40"/>
      <c r="AH149" s="10" t="str">
        <f aca="false">IF(C149="","",C149&amp;"|"&amp;D149&amp;"|"&amp;E149&amp;"|"&amp;H149&amp;"|"&amp;S149)</f>
        <v/>
      </c>
    </row>
    <row r="150" customFormat="false" ht="15" hidden="false" customHeight="false" outlineLevel="0" collapsed="false">
      <c r="A150" s="10" t="str">
        <f aca="false">IF(C150="","","DRN-"&amp;IFERROR(VLOOKUP(C150,Lists!$A$4:$B$21,2,0),"??")&amp;"-"&amp;TEXT(D150,"0000")&amp;"x"&amp;TEXT(E150,"0000")&amp;"-"&amp;IFERROR(VLOOKUP(H150,Lists!$D$4:$E$18,2,0),"??")&amp;"-"&amp;R150)</f>
        <v/>
      </c>
      <c r="B150" s="10" t="str">
        <f aca="false">IF(C150="","",C150&amp;" "&amp;D150&amp;"W x "&amp;E150&amp;"D, "&amp;H150&amp;", "&amp;I150)</f>
        <v/>
      </c>
      <c r="C150" s="9"/>
      <c r="D150" s="36"/>
      <c r="E150" s="36"/>
      <c r="F150" s="36"/>
      <c r="G150" s="36"/>
      <c r="H150" s="9"/>
      <c r="I150" s="9"/>
      <c r="J150" s="9"/>
      <c r="K150" s="9"/>
      <c r="L150" s="3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37"/>
      <c r="Y150" s="38"/>
      <c r="Z150" s="39"/>
      <c r="AA150" s="39"/>
      <c r="AB150" s="9"/>
      <c r="AC150" s="9"/>
      <c r="AD150" s="9"/>
      <c r="AE150" s="9"/>
      <c r="AF150" s="9"/>
      <c r="AG150" s="40"/>
      <c r="AH150" s="10" t="str">
        <f aca="false">IF(C150="","",C150&amp;"|"&amp;D150&amp;"|"&amp;E150&amp;"|"&amp;H150&amp;"|"&amp;S150)</f>
        <v/>
      </c>
    </row>
    <row r="151" customFormat="false" ht="15" hidden="false" customHeight="false" outlineLevel="0" collapsed="false">
      <c r="A151" s="10" t="str">
        <f aca="false">IF(C151="","","DRN-"&amp;IFERROR(VLOOKUP(C151,Lists!$A$4:$B$21,2,0),"??")&amp;"-"&amp;TEXT(D151,"0000")&amp;"x"&amp;TEXT(E151,"0000")&amp;"-"&amp;IFERROR(VLOOKUP(H151,Lists!$D$4:$E$18,2,0),"??")&amp;"-"&amp;R151)</f>
        <v/>
      </c>
      <c r="B151" s="10" t="str">
        <f aca="false">IF(C151="","",C151&amp;" "&amp;D151&amp;"W x "&amp;E151&amp;"D, "&amp;H151&amp;", "&amp;I151)</f>
        <v/>
      </c>
      <c r="C151" s="9"/>
      <c r="D151" s="36"/>
      <c r="E151" s="36"/>
      <c r="F151" s="36"/>
      <c r="G151" s="36"/>
      <c r="H151" s="9"/>
      <c r="I151" s="9"/>
      <c r="J151" s="9"/>
      <c r="K151" s="9"/>
      <c r="L151" s="3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37"/>
      <c r="Y151" s="38"/>
      <c r="Z151" s="39"/>
      <c r="AA151" s="39"/>
      <c r="AB151" s="9"/>
      <c r="AC151" s="9"/>
      <c r="AD151" s="9"/>
      <c r="AE151" s="9"/>
      <c r="AF151" s="9"/>
      <c r="AG151" s="40"/>
      <c r="AH151" s="10" t="str">
        <f aca="false">IF(C151="","",C151&amp;"|"&amp;D151&amp;"|"&amp;E151&amp;"|"&amp;H151&amp;"|"&amp;S151)</f>
        <v/>
      </c>
    </row>
    <row r="152" customFormat="false" ht="15" hidden="false" customHeight="false" outlineLevel="0" collapsed="false">
      <c r="A152" s="10" t="str">
        <f aca="false">IF(C152="","","DRN-"&amp;IFERROR(VLOOKUP(C152,Lists!$A$4:$B$21,2,0),"??")&amp;"-"&amp;TEXT(D152,"0000")&amp;"x"&amp;TEXT(E152,"0000")&amp;"-"&amp;IFERROR(VLOOKUP(H152,Lists!$D$4:$E$18,2,0),"??")&amp;"-"&amp;R152)</f>
        <v/>
      </c>
      <c r="B152" s="10" t="str">
        <f aca="false">IF(C152="","",C152&amp;" "&amp;D152&amp;"W x "&amp;E152&amp;"D, "&amp;H152&amp;", "&amp;I152)</f>
        <v/>
      </c>
      <c r="C152" s="9"/>
      <c r="D152" s="36"/>
      <c r="E152" s="36"/>
      <c r="F152" s="36"/>
      <c r="G152" s="36"/>
      <c r="H152" s="9"/>
      <c r="I152" s="9"/>
      <c r="J152" s="9"/>
      <c r="K152" s="9"/>
      <c r="L152" s="3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37"/>
      <c r="Y152" s="38"/>
      <c r="Z152" s="39"/>
      <c r="AA152" s="39"/>
      <c r="AB152" s="9"/>
      <c r="AC152" s="9"/>
      <c r="AD152" s="9"/>
      <c r="AE152" s="9"/>
      <c r="AF152" s="9"/>
      <c r="AG152" s="40"/>
      <c r="AH152" s="10" t="str">
        <f aca="false">IF(C152="","",C152&amp;"|"&amp;D152&amp;"|"&amp;E152&amp;"|"&amp;H152&amp;"|"&amp;S152)</f>
        <v/>
      </c>
    </row>
    <row r="153" customFormat="false" ht="15" hidden="false" customHeight="false" outlineLevel="0" collapsed="false">
      <c r="A153" s="10" t="str">
        <f aca="false">IF(C153="","","DRN-"&amp;IFERROR(VLOOKUP(C153,Lists!$A$4:$B$21,2,0),"??")&amp;"-"&amp;TEXT(D153,"0000")&amp;"x"&amp;TEXT(E153,"0000")&amp;"-"&amp;IFERROR(VLOOKUP(H153,Lists!$D$4:$E$18,2,0),"??")&amp;"-"&amp;R153)</f>
        <v/>
      </c>
      <c r="B153" s="10" t="str">
        <f aca="false">IF(C153="","",C153&amp;" "&amp;D153&amp;"W x "&amp;E153&amp;"D, "&amp;H153&amp;", "&amp;I153)</f>
        <v/>
      </c>
      <c r="C153" s="9"/>
      <c r="D153" s="36"/>
      <c r="E153" s="36"/>
      <c r="F153" s="36"/>
      <c r="G153" s="36"/>
      <c r="H153" s="9"/>
      <c r="I153" s="9"/>
      <c r="J153" s="9"/>
      <c r="K153" s="9"/>
      <c r="L153" s="3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37"/>
      <c r="Y153" s="38"/>
      <c r="Z153" s="39"/>
      <c r="AA153" s="39"/>
      <c r="AB153" s="9"/>
      <c r="AC153" s="9"/>
      <c r="AD153" s="9"/>
      <c r="AE153" s="9"/>
      <c r="AF153" s="9"/>
      <c r="AG153" s="40"/>
      <c r="AH153" s="10" t="str">
        <f aca="false">IF(C153="","",C153&amp;"|"&amp;D153&amp;"|"&amp;E153&amp;"|"&amp;H153&amp;"|"&amp;S153)</f>
        <v/>
      </c>
    </row>
    <row r="154" customFormat="false" ht="15" hidden="false" customHeight="false" outlineLevel="0" collapsed="false">
      <c r="A154" s="10" t="str">
        <f aca="false">IF(C154="","","DRN-"&amp;IFERROR(VLOOKUP(C154,Lists!$A$4:$B$21,2,0),"??")&amp;"-"&amp;TEXT(D154,"0000")&amp;"x"&amp;TEXT(E154,"0000")&amp;"-"&amp;IFERROR(VLOOKUP(H154,Lists!$D$4:$E$18,2,0),"??")&amp;"-"&amp;R154)</f>
        <v/>
      </c>
      <c r="B154" s="10" t="str">
        <f aca="false">IF(C154="","",C154&amp;" "&amp;D154&amp;"W x "&amp;E154&amp;"D, "&amp;H154&amp;", "&amp;I154)</f>
        <v/>
      </c>
      <c r="C154" s="9"/>
      <c r="D154" s="36"/>
      <c r="E154" s="36"/>
      <c r="F154" s="36"/>
      <c r="G154" s="36"/>
      <c r="H154" s="9"/>
      <c r="I154" s="9"/>
      <c r="J154" s="9"/>
      <c r="K154" s="9"/>
      <c r="L154" s="3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37"/>
      <c r="Y154" s="38"/>
      <c r="Z154" s="39"/>
      <c r="AA154" s="39"/>
      <c r="AB154" s="9"/>
      <c r="AC154" s="9"/>
      <c r="AD154" s="9"/>
      <c r="AE154" s="9"/>
      <c r="AF154" s="9"/>
      <c r="AG154" s="40"/>
      <c r="AH154" s="10" t="str">
        <f aca="false">IF(C154="","",C154&amp;"|"&amp;D154&amp;"|"&amp;E154&amp;"|"&amp;H154&amp;"|"&amp;S154)</f>
        <v/>
      </c>
    </row>
    <row r="155" customFormat="false" ht="15" hidden="false" customHeight="false" outlineLevel="0" collapsed="false">
      <c r="A155" s="10" t="str">
        <f aca="false">IF(C155="","","DRN-"&amp;IFERROR(VLOOKUP(C155,Lists!$A$4:$B$21,2,0),"??")&amp;"-"&amp;TEXT(D155,"0000")&amp;"x"&amp;TEXT(E155,"0000")&amp;"-"&amp;IFERROR(VLOOKUP(H155,Lists!$D$4:$E$18,2,0),"??")&amp;"-"&amp;R155)</f>
        <v/>
      </c>
      <c r="B155" s="10" t="str">
        <f aca="false">IF(C155="","",C155&amp;" "&amp;D155&amp;"W x "&amp;E155&amp;"D, "&amp;H155&amp;", "&amp;I155)</f>
        <v/>
      </c>
      <c r="C155" s="9"/>
      <c r="D155" s="36"/>
      <c r="E155" s="36"/>
      <c r="F155" s="36"/>
      <c r="G155" s="36"/>
      <c r="H155" s="9"/>
      <c r="I155" s="9"/>
      <c r="J155" s="9"/>
      <c r="K155" s="9"/>
      <c r="L155" s="3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37"/>
      <c r="Y155" s="38"/>
      <c r="Z155" s="39"/>
      <c r="AA155" s="39"/>
      <c r="AB155" s="9"/>
      <c r="AC155" s="9"/>
      <c r="AD155" s="9"/>
      <c r="AE155" s="9"/>
      <c r="AF155" s="9"/>
      <c r="AG155" s="40"/>
      <c r="AH155" s="10" t="str">
        <f aca="false">IF(C155="","",C155&amp;"|"&amp;D155&amp;"|"&amp;E155&amp;"|"&amp;H155&amp;"|"&amp;S155)</f>
        <v/>
      </c>
    </row>
    <row r="156" customFormat="false" ht="15" hidden="false" customHeight="false" outlineLevel="0" collapsed="false">
      <c r="A156" s="10" t="str">
        <f aca="false">IF(C156="","","DRN-"&amp;IFERROR(VLOOKUP(C156,Lists!$A$4:$B$21,2,0),"??")&amp;"-"&amp;TEXT(D156,"0000")&amp;"x"&amp;TEXT(E156,"0000")&amp;"-"&amp;IFERROR(VLOOKUP(H156,Lists!$D$4:$E$18,2,0),"??")&amp;"-"&amp;R156)</f>
        <v/>
      </c>
      <c r="B156" s="10" t="str">
        <f aca="false">IF(C156="","",C156&amp;" "&amp;D156&amp;"W x "&amp;E156&amp;"D, "&amp;H156&amp;", "&amp;I156)</f>
        <v/>
      </c>
      <c r="C156" s="9"/>
      <c r="D156" s="36"/>
      <c r="E156" s="36"/>
      <c r="F156" s="36"/>
      <c r="G156" s="36"/>
      <c r="H156" s="9"/>
      <c r="I156" s="9"/>
      <c r="J156" s="9"/>
      <c r="K156" s="9"/>
      <c r="L156" s="3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37"/>
      <c r="Y156" s="38"/>
      <c r="Z156" s="39"/>
      <c r="AA156" s="39"/>
      <c r="AB156" s="9"/>
      <c r="AC156" s="9"/>
      <c r="AD156" s="9"/>
      <c r="AE156" s="9"/>
      <c r="AF156" s="9"/>
      <c r="AG156" s="40"/>
      <c r="AH156" s="10" t="str">
        <f aca="false">IF(C156="","",C156&amp;"|"&amp;D156&amp;"|"&amp;E156&amp;"|"&amp;H156&amp;"|"&amp;S156)</f>
        <v/>
      </c>
    </row>
    <row r="157" customFormat="false" ht="15" hidden="false" customHeight="false" outlineLevel="0" collapsed="false">
      <c r="A157" s="10" t="str">
        <f aca="false">IF(C157="","","DRN-"&amp;IFERROR(VLOOKUP(C157,Lists!$A$4:$B$21,2,0),"??")&amp;"-"&amp;TEXT(D157,"0000")&amp;"x"&amp;TEXT(E157,"0000")&amp;"-"&amp;IFERROR(VLOOKUP(H157,Lists!$D$4:$E$18,2,0),"??")&amp;"-"&amp;R157)</f>
        <v/>
      </c>
      <c r="B157" s="10" t="str">
        <f aca="false">IF(C157="","",C157&amp;" "&amp;D157&amp;"W x "&amp;E157&amp;"D, "&amp;H157&amp;", "&amp;I157)</f>
        <v/>
      </c>
      <c r="C157" s="9"/>
      <c r="D157" s="36"/>
      <c r="E157" s="36"/>
      <c r="F157" s="36"/>
      <c r="G157" s="36"/>
      <c r="H157" s="9"/>
      <c r="I157" s="9"/>
      <c r="J157" s="9"/>
      <c r="K157" s="9"/>
      <c r="L157" s="3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37"/>
      <c r="Y157" s="38"/>
      <c r="Z157" s="39"/>
      <c r="AA157" s="39"/>
      <c r="AB157" s="9"/>
      <c r="AC157" s="9"/>
      <c r="AD157" s="9"/>
      <c r="AE157" s="9"/>
      <c r="AF157" s="9"/>
      <c r="AG157" s="40"/>
      <c r="AH157" s="10" t="str">
        <f aca="false">IF(C157="","",C157&amp;"|"&amp;D157&amp;"|"&amp;E157&amp;"|"&amp;H157&amp;"|"&amp;S157)</f>
        <v/>
      </c>
    </row>
    <row r="158" customFormat="false" ht="15" hidden="false" customHeight="false" outlineLevel="0" collapsed="false">
      <c r="A158" s="10" t="str">
        <f aca="false">IF(C158="","","DRN-"&amp;IFERROR(VLOOKUP(C158,Lists!$A$4:$B$21,2,0),"??")&amp;"-"&amp;TEXT(D158,"0000")&amp;"x"&amp;TEXT(E158,"0000")&amp;"-"&amp;IFERROR(VLOOKUP(H158,Lists!$D$4:$E$18,2,0),"??")&amp;"-"&amp;R158)</f>
        <v/>
      </c>
      <c r="B158" s="10" t="str">
        <f aca="false">IF(C158="","",C158&amp;" "&amp;D158&amp;"W x "&amp;E158&amp;"D, "&amp;H158&amp;", "&amp;I158)</f>
        <v/>
      </c>
      <c r="C158" s="9"/>
      <c r="D158" s="36"/>
      <c r="E158" s="36"/>
      <c r="F158" s="36"/>
      <c r="G158" s="36"/>
      <c r="H158" s="9"/>
      <c r="I158" s="9"/>
      <c r="J158" s="9"/>
      <c r="K158" s="9"/>
      <c r="L158" s="3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37"/>
      <c r="Y158" s="38"/>
      <c r="Z158" s="39"/>
      <c r="AA158" s="39"/>
      <c r="AB158" s="9"/>
      <c r="AC158" s="9"/>
      <c r="AD158" s="9"/>
      <c r="AE158" s="9"/>
      <c r="AF158" s="9"/>
      <c r="AG158" s="40"/>
      <c r="AH158" s="10" t="str">
        <f aca="false">IF(C158="","",C158&amp;"|"&amp;D158&amp;"|"&amp;E158&amp;"|"&amp;H158&amp;"|"&amp;S158)</f>
        <v/>
      </c>
    </row>
    <row r="159" customFormat="false" ht="15" hidden="false" customHeight="false" outlineLevel="0" collapsed="false">
      <c r="A159" s="10" t="str">
        <f aca="false">IF(C159="","","DRN-"&amp;IFERROR(VLOOKUP(C159,Lists!$A$4:$B$21,2,0),"??")&amp;"-"&amp;TEXT(D159,"0000")&amp;"x"&amp;TEXT(E159,"0000")&amp;"-"&amp;IFERROR(VLOOKUP(H159,Lists!$D$4:$E$18,2,0),"??")&amp;"-"&amp;R159)</f>
        <v/>
      </c>
      <c r="B159" s="10" t="str">
        <f aca="false">IF(C159="","",C159&amp;" "&amp;D159&amp;"W x "&amp;E159&amp;"D, "&amp;H159&amp;", "&amp;I159)</f>
        <v/>
      </c>
      <c r="C159" s="9"/>
      <c r="D159" s="36"/>
      <c r="E159" s="36"/>
      <c r="F159" s="36"/>
      <c r="G159" s="36"/>
      <c r="H159" s="9"/>
      <c r="I159" s="9"/>
      <c r="J159" s="9"/>
      <c r="K159" s="9"/>
      <c r="L159" s="3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37"/>
      <c r="Y159" s="38"/>
      <c r="Z159" s="39"/>
      <c r="AA159" s="39"/>
      <c r="AB159" s="9"/>
      <c r="AC159" s="9"/>
      <c r="AD159" s="9"/>
      <c r="AE159" s="9"/>
      <c r="AF159" s="9"/>
      <c r="AG159" s="40"/>
      <c r="AH159" s="10" t="str">
        <f aca="false">IF(C159="","",C159&amp;"|"&amp;D159&amp;"|"&amp;E159&amp;"|"&amp;H159&amp;"|"&amp;S159)</f>
        <v/>
      </c>
    </row>
    <row r="160" customFormat="false" ht="15" hidden="false" customHeight="false" outlineLevel="0" collapsed="false">
      <c r="A160" s="10" t="str">
        <f aca="false">IF(C160="","","DRN-"&amp;IFERROR(VLOOKUP(C160,Lists!$A$4:$B$21,2,0),"??")&amp;"-"&amp;TEXT(D160,"0000")&amp;"x"&amp;TEXT(E160,"0000")&amp;"-"&amp;IFERROR(VLOOKUP(H160,Lists!$D$4:$E$18,2,0),"??")&amp;"-"&amp;R160)</f>
        <v/>
      </c>
      <c r="B160" s="10" t="str">
        <f aca="false">IF(C160="","",C160&amp;" "&amp;D160&amp;"W x "&amp;E160&amp;"D, "&amp;H160&amp;", "&amp;I160)</f>
        <v/>
      </c>
      <c r="C160" s="9"/>
      <c r="D160" s="36"/>
      <c r="E160" s="36"/>
      <c r="F160" s="36"/>
      <c r="G160" s="36"/>
      <c r="H160" s="9"/>
      <c r="I160" s="9"/>
      <c r="J160" s="9"/>
      <c r="K160" s="9"/>
      <c r="L160" s="3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37"/>
      <c r="Y160" s="38"/>
      <c r="Z160" s="39"/>
      <c r="AA160" s="39"/>
      <c r="AB160" s="9"/>
      <c r="AC160" s="9"/>
      <c r="AD160" s="9"/>
      <c r="AE160" s="9"/>
      <c r="AF160" s="9"/>
      <c r="AG160" s="40"/>
      <c r="AH160" s="10" t="str">
        <f aca="false">IF(C160="","",C160&amp;"|"&amp;D160&amp;"|"&amp;E160&amp;"|"&amp;H160&amp;"|"&amp;S160)</f>
        <v/>
      </c>
    </row>
    <row r="161" customFormat="false" ht="15" hidden="false" customHeight="false" outlineLevel="0" collapsed="false">
      <c r="A161" s="10" t="str">
        <f aca="false">IF(C161="","","DRN-"&amp;IFERROR(VLOOKUP(C161,Lists!$A$4:$B$21,2,0),"??")&amp;"-"&amp;TEXT(D161,"0000")&amp;"x"&amp;TEXT(E161,"0000")&amp;"-"&amp;IFERROR(VLOOKUP(H161,Lists!$D$4:$E$18,2,0),"??")&amp;"-"&amp;R161)</f>
        <v/>
      </c>
      <c r="B161" s="10" t="str">
        <f aca="false">IF(C161="","",C161&amp;" "&amp;D161&amp;"W x "&amp;E161&amp;"D, "&amp;H161&amp;", "&amp;I161)</f>
        <v/>
      </c>
      <c r="C161" s="9"/>
      <c r="D161" s="36"/>
      <c r="E161" s="36"/>
      <c r="F161" s="36"/>
      <c r="G161" s="36"/>
      <c r="H161" s="9"/>
      <c r="I161" s="9"/>
      <c r="J161" s="9"/>
      <c r="K161" s="9"/>
      <c r="L161" s="3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37"/>
      <c r="Y161" s="38"/>
      <c r="Z161" s="39"/>
      <c r="AA161" s="39"/>
      <c r="AB161" s="9"/>
      <c r="AC161" s="9"/>
      <c r="AD161" s="9"/>
      <c r="AE161" s="9"/>
      <c r="AF161" s="9"/>
      <c r="AG161" s="40"/>
      <c r="AH161" s="10" t="str">
        <f aca="false">IF(C161="","",C161&amp;"|"&amp;D161&amp;"|"&amp;E161&amp;"|"&amp;H161&amp;"|"&amp;S161)</f>
        <v/>
      </c>
    </row>
    <row r="162" customFormat="false" ht="15" hidden="false" customHeight="false" outlineLevel="0" collapsed="false">
      <c r="A162" s="10" t="str">
        <f aca="false">IF(C162="","","DRN-"&amp;IFERROR(VLOOKUP(C162,Lists!$A$4:$B$21,2,0),"??")&amp;"-"&amp;TEXT(D162,"0000")&amp;"x"&amp;TEXT(E162,"0000")&amp;"-"&amp;IFERROR(VLOOKUP(H162,Lists!$D$4:$E$18,2,0),"??")&amp;"-"&amp;R162)</f>
        <v/>
      </c>
      <c r="B162" s="10" t="str">
        <f aca="false">IF(C162="","",C162&amp;" "&amp;D162&amp;"W x "&amp;E162&amp;"D, "&amp;H162&amp;", "&amp;I162)</f>
        <v/>
      </c>
      <c r="C162" s="9"/>
      <c r="D162" s="36"/>
      <c r="E162" s="36"/>
      <c r="F162" s="36"/>
      <c r="G162" s="36"/>
      <c r="H162" s="9"/>
      <c r="I162" s="9"/>
      <c r="J162" s="9"/>
      <c r="K162" s="9"/>
      <c r="L162" s="3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37"/>
      <c r="Y162" s="38"/>
      <c r="Z162" s="39"/>
      <c r="AA162" s="39"/>
      <c r="AB162" s="9"/>
      <c r="AC162" s="9"/>
      <c r="AD162" s="9"/>
      <c r="AE162" s="9"/>
      <c r="AF162" s="9"/>
      <c r="AG162" s="40"/>
      <c r="AH162" s="10" t="str">
        <f aca="false">IF(C162="","",C162&amp;"|"&amp;D162&amp;"|"&amp;E162&amp;"|"&amp;H162&amp;"|"&amp;S162)</f>
        <v/>
      </c>
    </row>
    <row r="163" customFormat="false" ht="15" hidden="false" customHeight="false" outlineLevel="0" collapsed="false">
      <c r="A163" s="10" t="str">
        <f aca="false">IF(C163="","","DRN-"&amp;IFERROR(VLOOKUP(C163,Lists!$A$4:$B$21,2,0),"??")&amp;"-"&amp;TEXT(D163,"0000")&amp;"x"&amp;TEXT(E163,"0000")&amp;"-"&amp;IFERROR(VLOOKUP(H163,Lists!$D$4:$E$18,2,0),"??")&amp;"-"&amp;R163)</f>
        <v/>
      </c>
      <c r="B163" s="10" t="str">
        <f aca="false">IF(C163="","",C163&amp;" "&amp;D163&amp;"W x "&amp;E163&amp;"D, "&amp;H163&amp;", "&amp;I163)</f>
        <v/>
      </c>
      <c r="C163" s="9"/>
      <c r="D163" s="36"/>
      <c r="E163" s="36"/>
      <c r="F163" s="36"/>
      <c r="G163" s="36"/>
      <c r="H163" s="9"/>
      <c r="I163" s="9"/>
      <c r="J163" s="9"/>
      <c r="K163" s="9"/>
      <c r="L163" s="3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37"/>
      <c r="Y163" s="38"/>
      <c r="Z163" s="39"/>
      <c r="AA163" s="39"/>
      <c r="AB163" s="9"/>
      <c r="AC163" s="9"/>
      <c r="AD163" s="9"/>
      <c r="AE163" s="9"/>
      <c r="AF163" s="9"/>
      <c r="AG163" s="40"/>
      <c r="AH163" s="10" t="str">
        <f aca="false">IF(C163="","",C163&amp;"|"&amp;D163&amp;"|"&amp;E163&amp;"|"&amp;H163&amp;"|"&amp;S163)</f>
        <v/>
      </c>
    </row>
    <row r="164" customFormat="false" ht="15" hidden="false" customHeight="false" outlineLevel="0" collapsed="false">
      <c r="A164" s="10" t="str">
        <f aca="false">IF(C164="","","DRN-"&amp;IFERROR(VLOOKUP(C164,Lists!$A$4:$B$21,2,0),"??")&amp;"-"&amp;TEXT(D164,"0000")&amp;"x"&amp;TEXT(E164,"0000")&amp;"-"&amp;IFERROR(VLOOKUP(H164,Lists!$D$4:$E$18,2,0),"??")&amp;"-"&amp;R164)</f>
        <v/>
      </c>
      <c r="B164" s="10" t="str">
        <f aca="false">IF(C164="","",C164&amp;" "&amp;D164&amp;"W x "&amp;E164&amp;"D, "&amp;H164&amp;", "&amp;I164)</f>
        <v/>
      </c>
      <c r="C164" s="9"/>
      <c r="D164" s="36"/>
      <c r="E164" s="36"/>
      <c r="F164" s="36"/>
      <c r="G164" s="36"/>
      <c r="H164" s="9"/>
      <c r="I164" s="9"/>
      <c r="J164" s="9"/>
      <c r="K164" s="9"/>
      <c r="L164" s="3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37"/>
      <c r="Y164" s="38"/>
      <c r="Z164" s="39"/>
      <c r="AA164" s="39"/>
      <c r="AB164" s="9"/>
      <c r="AC164" s="9"/>
      <c r="AD164" s="9"/>
      <c r="AE164" s="9"/>
      <c r="AF164" s="9"/>
      <c r="AG164" s="40"/>
      <c r="AH164" s="10" t="str">
        <f aca="false">IF(C164="","",C164&amp;"|"&amp;D164&amp;"|"&amp;E164&amp;"|"&amp;H164&amp;"|"&amp;S164)</f>
        <v/>
      </c>
    </row>
    <row r="165" customFormat="false" ht="15" hidden="false" customHeight="false" outlineLevel="0" collapsed="false">
      <c r="A165" s="10" t="str">
        <f aca="false">IF(C165="","","DRN-"&amp;IFERROR(VLOOKUP(C165,Lists!$A$4:$B$21,2,0),"??")&amp;"-"&amp;TEXT(D165,"0000")&amp;"x"&amp;TEXT(E165,"0000")&amp;"-"&amp;IFERROR(VLOOKUP(H165,Lists!$D$4:$E$18,2,0),"??")&amp;"-"&amp;R165)</f>
        <v/>
      </c>
      <c r="B165" s="10" t="str">
        <f aca="false">IF(C165="","",C165&amp;" "&amp;D165&amp;"W x "&amp;E165&amp;"D, "&amp;H165&amp;", "&amp;I165)</f>
        <v/>
      </c>
      <c r="C165" s="9"/>
      <c r="D165" s="36"/>
      <c r="E165" s="36"/>
      <c r="F165" s="36"/>
      <c r="G165" s="36"/>
      <c r="H165" s="9"/>
      <c r="I165" s="9"/>
      <c r="J165" s="9"/>
      <c r="K165" s="9"/>
      <c r="L165" s="3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37"/>
      <c r="Y165" s="38"/>
      <c r="Z165" s="39"/>
      <c r="AA165" s="39"/>
      <c r="AB165" s="9"/>
      <c r="AC165" s="9"/>
      <c r="AD165" s="9"/>
      <c r="AE165" s="9"/>
      <c r="AF165" s="9"/>
      <c r="AG165" s="40"/>
      <c r="AH165" s="10" t="str">
        <f aca="false">IF(C165="","",C165&amp;"|"&amp;D165&amp;"|"&amp;E165&amp;"|"&amp;H165&amp;"|"&amp;S165)</f>
        <v/>
      </c>
    </row>
    <row r="166" customFormat="false" ht="15" hidden="false" customHeight="false" outlineLevel="0" collapsed="false">
      <c r="A166" s="10" t="str">
        <f aca="false">IF(C166="","","DRN-"&amp;IFERROR(VLOOKUP(C166,Lists!$A$4:$B$21,2,0),"??")&amp;"-"&amp;TEXT(D166,"0000")&amp;"x"&amp;TEXT(E166,"0000")&amp;"-"&amp;IFERROR(VLOOKUP(H166,Lists!$D$4:$E$18,2,0),"??")&amp;"-"&amp;R166)</f>
        <v/>
      </c>
      <c r="B166" s="10" t="str">
        <f aca="false">IF(C166="","",C166&amp;" "&amp;D166&amp;"W x "&amp;E166&amp;"D, "&amp;H166&amp;", "&amp;I166)</f>
        <v/>
      </c>
      <c r="C166" s="9"/>
      <c r="D166" s="36"/>
      <c r="E166" s="36"/>
      <c r="F166" s="36"/>
      <c r="G166" s="36"/>
      <c r="H166" s="9"/>
      <c r="I166" s="9"/>
      <c r="J166" s="9"/>
      <c r="K166" s="9"/>
      <c r="L166" s="3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37"/>
      <c r="Y166" s="38"/>
      <c r="Z166" s="39"/>
      <c r="AA166" s="39"/>
      <c r="AB166" s="9"/>
      <c r="AC166" s="9"/>
      <c r="AD166" s="9"/>
      <c r="AE166" s="9"/>
      <c r="AF166" s="9"/>
      <c r="AG166" s="40"/>
      <c r="AH166" s="10" t="str">
        <f aca="false">IF(C166="","",C166&amp;"|"&amp;D166&amp;"|"&amp;E166&amp;"|"&amp;H166&amp;"|"&amp;S166)</f>
        <v/>
      </c>
    </row>
    <row r="167" customFormat="false" ht="15" hidden="false" customHeight="false" outlineLevel="0" collapsed="false">
      <c r="A167" s="10" t="str">
        <f aca="false">IF(C167="","","DRN-"&amp;IFERROR(VLOOKUP(C167,Lists!$A$4:$B$21,2,0),"??")&amp;"-"&amp;TEXT(D167,"0000")&amp;"x"&amp;TEXT(E167,"0000")&amp;"-"&amp;IFERROR(VLOOKUP(H167,Lists!$D$4:$E$18,2,0),"??")&amp;"-"&amp;R167)</f>
        <v/>
      </c>
      <c r="B167" s="10" t="str">
        <f aca="false">IF(C167="","",C167&amp;" "&amp;D167&amp;"W x "&amp;E167&amp;"D, "&amp;H167&amp;", "&amp;I167)</f>
        <v/>
      </c>
      <c r="C167" s="9"/>
      <c r="D167" s="36"/>
      <c r="E167" s="36"/>
      <c r="F167" s="36"/>
      <c r="G167" s="36"/>
      <c r="H167" s="9"/>
      <c r="I167" s="9"/>
      <c r="J167" s="9"/>
      <c r="K167" s="9"/>
      <c r="L167" s="3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37"/>
      <c r="Y167" s="38"/>
      <c r="Z167" s="39"/>
      <c r="AA167" s="39"/>
      <c r="AB167" s="9"/>
      <c r="AC167" s="9"/>
      <c r="AD167" s="9"/>
      <c r="AE167" s="9"/>
      <c r="AF167" s="9"/>
      <c r="AG167" s="40"/>
      <c r="AH167" s="10" t="str">
        <f aca="false">IF(C167="","",C167&amp;"|"&amp;D167&amp;"|"&amp;E167&amp;"|"&amp;H167&amp;"|"&amp;S167)</f>
        <v/>
      </c>
    </row>
    <row r="168" customFormat="false" ht="15" hidden="false" customHeight="false" outlineLevel="0" collapsed="false">
      <c r="A168" s="10" t="str">
        <f aca="false">IF(C168="","","DRN-"&amp;IFERROR(VLOOKUP(C168,Lists!$A$4:$B$21,2,0),"??")&amp;"-"&amp;TEXT(D168,"0000")&amp;"x"&amp;TEXT(E168,"0000")&amp;"-"&amp;IFERROR(VLOOKUP(H168,Lists!$D$4:$E$18,2,0),"??")&amp;"-"&amp;R168)</f>
        <v/>
      </c>
      <c r="B168" s="10" t="str">
        <f aca="false">IF(C168="","",C168&amp;" "&amp;D168&amp;"W x "&amp;E168&amp;"D, "&amp;H168&amp;", "&amp;I168)</f>
        <v/>
      </c>
      <c r="C168" s="9"/>
      <c r="D168" s="36"/>
      <c r="E168" s="36"/>
      <c r="F168" s="36"/>
      <c r="G168" s="36"/>
      <c r="H168" s="9"/>
      <c r="I168" s="9"/>
      <c r="J168" s="9"/>
      <c r="K168" s="9"/>
      <c r="L168" s="3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37"/>
      <c r="Y168" s="38"/>
      <c r="Z168" s="39"/>
      <c r="AA168" s="39"/>
      <c r="AB168" s="9"/>
      <c r="AC168" s="9"/>
      <c r="AD168" s="9"/>
      <c r="AE168" s="9"/>
      <c r="AF168" s="9"/>
      <c r="AG168" s="40"/>
      <c r="AH168" s="10" t="str">
        <f aca="false">IF(C168="","",C168&amp;"|"&amp;D168&amp;"|"&amp;E168&amp;"|"&amp;H168&amp;"|"&amp;S168)</f>
        <v/>
      </c>
    </row>
    <row r="169" customFormat="false" ht="15" hidden="false" customHeight="false" outlineLevel="0" collapsed="false">
      <c r="A169" s="10" t="str">
        <f aca="false">IF(C169="","","DRN-"&amp;IFERROR(VLOOKUP(C169,Lists!$A$4:$B$21,2,0),"??")&amp;"-"&amp;TEXT(D169,"0000")&amp;"x"&amp;TEXT(E169,"0000")&amp;"-"&amp;IFERROR(VLOOKUP(H169,Lists!$D$4:$E$18,2,0),"??")&amp;"-"&amp;R169)</f>
        <v/>
      </c>
      <c r="B169" s="10" t="str">
        <f aca="false">IF(C169="","",C169&amp;" "&amp;D169&amp;"W x "&amp;E169&amp;"D, "&amp;H169&amp;", "&amp;I169)</f>
        <v/>
      </c>
      <c r="C169" s="9"/>
      <c r="D169" s="36"/>
      <c r="E169" s="36"/>
      <c r="F169" s="36"/>
      <c r="G169" s="36"/>
      <c r="H169" s="9"/>
      <c r="I169" s="9"/>
      <c r="J169" s="9"/>
      <c r="K169" s="9"/>
      <c r="L169" s="3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37"/>
      <c r="Y169" s="38"/>
      <c r="Z169" s="39"/>
      <c r="AA169" s="39"/>
      <c r="AB169" s="9"/>
      <c r="AC169" s="9"/>
      <c r="AD169" s="9"/>
      <c r="AE169" s="9"/>
      <c r="AF169" s="9"/>
      <c r="AG169" s="40"/>
      <c r="AH169" s="10" t="str">
        <f aca="false">IF(C169="","",C169&amp;"|"&amp;D169&amp;"|"&amp;E169&amp;"|"&amp;H169&amp;"|"&amp;S169)</f>
        <v/>
      </c>
    </row>
    <row r="170" customFormat="false" ht="15" hidden="false" customHeight="false" outlineLevel="0" collapsed="false">
      <c r="A170" s="10" t="str">
        <f aca="false">IF(C170="","","DRN-"&amp;IFERROR(VLOOKUP(C170,Lists!$A$4:$B$21,2,0),"??")&amp;"-"&amp;TEXT(D170,"0000")&amp;"x"&amp;TEXT(E170,"0000")&amp;"-"&amp;IFERROR(VLOOKUP(H170,Lists!$D$4:$E$18,2,0),"??")&amp;"-"&amp;R170)</f>
        <v/>
      </c>
      <c r="B170" s="10" t="str">
        <f aca="false">IF(C170="","",C170&amp;" "&amp;D170&amp;"W x "&amp;E170&amp;"D, "&amp;H170&amp;", "&amp;I170)</f>
        <v/>
      </c>
      <c r="C170" s="9"/>
      <c r="D170" s="36"/>
      <c r="E170" s="36"/>
      <c r="F170" s="36"/>
      <c r="G170" s="36"/>
      <c r="H170" s="9"/>
      <c r="I170" s="9"/>
      <c r="J170" s="9"/>
      <c r="K170" s="9"/>
      <c r="L170" s="3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37"/>
      <c r="Y170" s="38"/>
      <c r="Z170" s="39"/>
      <c r="AA170" s="39"/>
      <c r="AB170" s="9"/>
      <c r="AC170" s="9"/>
      <c r="AD170" s="9"/>
      <c r="AE170" s="9"/>
      <c r="AF170" s="9"/>
      <c r="AG170" s="40"/>
      <c r="AH170" s="10" t="str">
        <f aca="false">IF(C170="","",C170&amp;"|"&amp;D170&amp;"|"&amp;E170&amp;"|"&amp;H170&amp;"|"&amp;S170)</f>
        <v/>
      </c>
    </row>
    <row r="171" customFormat="false" ht="15" hidden="false" customHeight="false" outlineLevel="0" collapsed="false">
      <c r="A171" s="10" t="str">
        <f aca="false">IF(C171="","","DRN-"&amp;IFERROR(VLOOKUP(C171,Lists!$A$4:$B$21,2,0),"??")&amp;"-"&amp;TEXT(D171,"0000")&amp;"x"&amp;TEXT(E171,"0000")&amp;"-"&amp;IFERROR(VLOOKUP(H171,Lists!$D$4:$E$18,2,0),"??")&amp;"-"&amp;R171)</f>
        <v/>
      </c>
      <c r="B171" s="10" t="str">
        <f aca="false">IF(C171="","",C171&amp;" "&amp;D171&amp;"W x "&amp;E171&amp;"D, "&amp;H171&amp;", "&amp;I171)</f>
        <v/>
      </c>
      <c r="C171" s="9"/>
      <c r="D171" s="36"/>
      <c r="E171" s="36"/>
      <c r="F171" s="36"/>
      <c r="G171" s="36"/>
      <c r="H171" s="9"/>
      <c r="I171" s="9"/>
      <c r="J171" s="9"/>
      <c r="K171" s="9"/>
      <c r="L171" s="3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37"/>
      <c r="Y171" s="38"/>
      <c r="Z171" s="39"/>
      <c r="AA171" s="39"/>
      <c r="AB171" s="9"/>
      <c r="AC171" s="9"/>
      <c r="AD171" s="9"/>
      <c r="AE171" s="9"/>
      <c r="AF171" s="9"/>
      <c r="AG171" s="40"/>
      <c r="AH171" s="10" t="str">
        <f aca="false">IF(C171="","",C171&amp;"|"&amp;D171&amp;"|"&amp;E171&amp;"|"&amp;H171&amp;"|"&amp;S171)</f>
        <v/>
      </c>
    </row>
    <row r="172" customFormat="false" ht="15" hidden="false" customHeight="false" outlineLevel="0" collapsed="false">
      <c r="A172" s="10" t="str">
        <f aca="false">IF(C172="","","DRN-"&amp;IFERROR(VLOOKUP(C172,Lists!$A$4:$B$21,2,0),"??")&amp;"-"&amp;TEXT(D172,"0000")&amp;"x"&amp;TEXT(E172,"0000")&amp;"-"&amp;IFERROR(VLOOKUP(H172,Lists!$D$4:$E$18,2,0),"??")&amp;"-"&amp;R172)</f>
        <v/>
      </c>
      <c r="B172" s="10" t="str">
        <f aca="false">IF(C172="","",C172&amp;" "&amp;D172&amp;"W x "&amp;E172&amp;"D, "&amp;H172&amp;", "&amp;I172)</f>
        <v/>
      </c>
      <c r="C172" s="9"/>
      <c r="D172" s="36"/>
      <c r="E172" s="36"/>
      <c r="F172" s="36"/>
      <c r="G172" s="36"/>
      <c r="H172" s="9"/>
      <c r="I172" s="9"/>
      <c r="J172" s="9"/>
      <c r="K172" s="9"/>
      <c r="L172" s="3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37"/>
      <c r="Y172" s="38"/>
      <c r="Z172" s="39"/>
      <c r="AA172" s="39"/>
      <c r="AB172" s="9"/>
      <c r="AC172" s="9"/>
      <c r="AD172" s="9"/>
      <c r="AE172" s="9"/>
      <c r="AF172" s="9"/>
      <c r="AG172" s="40"/>
      <c r="AH172" s="10" t="str">
        <f aca="false">IF(C172="","",C172&amp;"|"&amp;D172&amp;"|"&amp;E172&amp;"|"&amp;H172&amp;"|"&amp;S172)</f>
        <v/>
      </c>
    </row>
    <row r="173" customFormat="false" ht="15" hidden="false" customHeight="false" outlineLevel="0" collapsed="false">
      <c r="A173" s="10" t="str">
        <f aca="false">IF(C173="","","DRN-"&amp;IFERROR(VLOOKUP(C173,Lists!$A$4:$B$21,2,0),"??")&amp;"-"&amp;TEXT(D173,"0000")&amp;"x"&amp;TEXT(E173,"0000")&amp;"-"&amp;IFERROR(VLOOKUP(H173,Lists!$D$4:$E$18,2,0),"??")&amp;"-"&amp;R173)</f>
        <v/>
      </c>
      <c r="B173" s="10" t="str">
        <f aca="false">IF(C173="","",C173&amp;" "&amp;D173&amp;"W x "&amp;E173&amp;"D, "&amp;H173&amp;", "&amp;I173)</f>
        <v/>
      </c>
      <c r="C173" s="9"/>
      <c r="D173" s="36"/>
      <c r="E173" s="36"/>
      <c r="F173" s="36"/>
      <c r="G173" s="36"/>
      <c r="H173" s="9"/>
      <c r="I173" s="9"/>
      <c r="J173" s="9"/>
      <c r="K173" s="9"/>
      <c r="L173" s="3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37"/>
      <c r="Y173" s="38"/>
      <c r="Z173" s="39"/>
      <c r="AA173" s="39"/>
      <c r="AB173" s="9"/>
      <c r="AC173" s="9"/>
      <c r="AD173" s="9"/>
      <c r="AE173" s="9"/>
      <c r="AF173" s="9"/>
      <c r="AG173" s="40"/>
      <c r="AH173" s="10" t="str">
        <f aca="false">IF(C173="","",C173&amp;"|"&amp;D173&amp;"|"&amp;E173&amp;"|"&amp;H173&amp;"|"&amp;S173)</f>
        <v/>
      </c>
    </row>
    <row r="174" customFormat="false" ht="15" hidden="false" customHeight="false" outlineLevel="0" collapsed="false">
      <c r="A174" s="10" t="str">
        <f aca="false">IF(C174="","","DRN-"&amp;IFERROR(VLOOKUP(C174,Lists!$A$4:$B$21,2,0),"??")&amp;"-"&amp;TEXT(D174,"0000")&amp;"x"&amp;TEXT(E174,"0000")&amp;"-"&amp;IFERROR(VLOOKUP(H174,Lists!$D$4:$E$18,2,0),"??")&amp;"-"&amp;R174)</f>
        <v/>
      </c>
      <c r="B174" s="10" t="str">
        <f aca="false">IF(C174="","",C174&amp;" "&amp;D174&amp;"W x "&amp;E174&amp;"D, "&amp;H174&amp;", "&amp;I174)</f>
        <v/>
      </c>
      <c r="C174" s="9"/>
      <c r="D174" s="36"/>
      <c r="E174" s="36"/>
      <c r="F174" s="36"/>
      <c r="G174" s="36"/>
      <c r="H174" s="9"/>
      <c r="I174" s="9"/>
      <c r="J174" s="9"/>
      <c r="K174" s="9"/>
      <c r="L174" s="3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37"/>
      <c r="Y174" s="38"/>
      <c r="Z174" s="39"/>
      <c r="AA174" s="39"/>
      <c r="AB174" s="9"/>
      <c r="AC174" s="9"/>
      <c r="AD174" s="9"/>
      <c r="AE174" s="9"/>
      <c r="AF174" s="9"/>
      <c r="AG174" s="40"/>
      <c r="AH174" s="10" t="str">
        <f aca="false">IF(C174="","",C174&amp;"|"&amp;D174&amp;"|"&amp;E174&amp;"|"&amp;H174&amp;"|"&amp;S174)</f>
        <v/>
      </c>
    </row>
    <row r="175" customFormat="false" ht="15" hidden="false" customHeight="false" outlineLevel="0" collapsed="false">
      <c r="A175" s="10" t="str">
        <f aca="false">IF(C175="","","DRN-"&amp;IFERROR(VLOOKUP(C175,Lists!$A$4:$B$21,2,0),"??")&amp;"-"&amp;TEXT(D175,"0000")&amp;"x"&amp;TEXT(E175,"0000")&amp;"-"&amp;IFERROR(VLOOKUP(H175,Lists!$D$4:$E$18,2,0),"??")&amp;"-"&amp;R175)</f>
        <v/>
      </c>
      <c r="B175" s="10" t="str">
        <f aca="false">IF(C175="","",C175&amp;" "&amp;D175&amp;"W x "&amp;E175&amp;"D, "&amp;H175&amp;", "&amp;I175)</f>
        <v/>
      </c>
      <c r="C175" s="9"/>
      <c r="D175" s="36"/>
      <c r="E175" s="36"/>
      <c r="F175" s="36"/>
      <c r="G175" s="36"/>
      <c r="H175" s="9"/>
      <c r="I175" s="9"/>
      <c r="J175" s="9"/>
      <c r="K175" s="9"/>
      <c r="L175" s="3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37"/>
      <c r="Y175" s="38"/>
      <c r="Z175" s="39"/>
      <c r="AA175" s="39"/>
      <c r="AB175" s="9"/>
      <c r="AC175" s="9"/>
      <c r="AD175" s="9"/>
      <c r="AE175" s="9"/>
      <c r="AF175" s="9"/>
      <c r="AG175" s="40"/>
      <c r="AH175" s="10" t="str">
        <f aca="false">IF(C175="","",C175&amp;"|"&amp;D175&amp;"|"&amp;E175&amp;"|"&amp;H175&amp;"|"&amp;S175)</f>
        <v/>
      </c>
    </row>
    <row r="176" customFormat="false" ht="15" hidden="false" customHeight="false" outlineLevel="0" collapsed="false">
      <c r="A176" s="10" t="str">
        <f aca="false">IF(C176="","","DRN-"&amp;IFERROR(VLOOKUP(C176,Lists!$A$4:$B$21,2,0),"??")&amp;"-"&amp;TEXT(D176,"0000")&amp;"x"&amp;TEXT(E176,"0000")&amp;"-"&amp;IFERROR(VLOOKUP(H176,Lists!$D$4:$E$18,2,0),"??")&amp;"-"&amp;R176)</f>
        <v/>
      </c>
      <c r="B176" s="10" t="str">
        <f aca="false">IF(C176="","",C176&amp;" "&amp;D176&amp;"W x "&amp;E176&amp;"D, "&amp;H176&amp;", "&amp;I176)</f>
        <v/>
      </c>
      <c r="C176" s="9"/>
      <c r="D176" s="36"/>
      <c r="E176" s="36"/>
      <c r="F176" s="36"/>
      <c r="G176" s="36"/>
      <c r="H176" s="9"/>
      <c r="I176" s="9"/>
      <c r="J176" s="9"/>
      <c r="K176" s="9"/>
      <c r="L176" s="3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37"/>
      <c r="Y176" s="38"/>
      <c r="Z176" s="39"/>
      <c r="AA176" s="39"/>
      <c r="AB176" s="9"/>
      <c r="AC176" s="9"/>
      <c r="AD176" s="9"/>
      <c r="AE176" s="9"/>
      <c r="AF176" s="9"/>
      <c r="AG176" s="40"/>
      <c r="AH176" s="10" t="str">
        <f aca="false">IF(C176="","",C176&amp;"|"&amp;D176&amp;"|"&amp;E176&amp;"|"&amp;H176&amp;"|"&amp;S176)</f>
        <v/>
      </c>
    </row>
    <row r="177" customFormat="false" ht="15" hidden="false" customHeight="false" outlineLevel="0" collapsed="false">
      <c r="A177" s="10" t="str">
        <f aca="false">IF(C177="","","DRN-"&amp;IFERROR(VLOOKUP(C177,Lists!$A$4:$B$21,2,0),"??")&amp;"-"&amp;TEXT(D177,"0000")&amp;"x"&amp;TEXT(E177,"0000")&amp;"-"&amp;IFERROR(VLOOKUP(H177,Lists!$D$4:$E$18,2,0),"??")&amp;"-"&amp;R177)</f>
        <v/>
      </c>
      <c r="B177" s="10" t="str">
        <f aca="false">IF(C177="","",C177&amp;" "&amp;D177&amp;"W x "&amp;E177&amp;"D, "&amp;H177&amp;", "&amp;I177)</f>
        <v/>
      </c>
      <c r="C177" s="9"/>
      <c r="D177" s="36"/>
      <c r="E177" s="36"/>
      <c r="F177" s="36"/>
      <c r="G177" s="36"/>
      <c r="H177" s="9"/>
      <c r="I177" s="9"/>
      <c r="J177" s="9"/>
      <c r="K177" s="9"/>
      <c r="L177" s="3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37"/>
      <c r="Y177" s="38"/>
      <c r="Z177" s="39"/>
      <c r="AA177" s="39"/>
      <c r="AB177" s="9"/>
      <c r="AC177" s="9"/>
      <c r="AD177" s="9"/>
      <c r="AE177" s="9"/>
      <c r="AF177" s="9"/>
      <c r="AG177" s="40"/>
      <c r="AH177" s="10" t="str">
        <f aca="false">IF(C177="","",C177&amp;"|"&amp;D177&amp;"|"&amp;E177&amp;"|"&amp;H177&amp;"|"&amp;S177)</f>
        <v/>
      </c>
    </row>
    <row r="178" customFormat="false" ht="15" hidden="false" customHeight="false" outlineLevel="0" collapsed="false">
      <c r="A178" s="10" t="str">
        <f aca="false">IF(C178="","","DRN-"&amp;IFERROR(VLOOKUP(C178,Lists!$A$4:$B$21,2,0),"??")&amp;"-"&amp;TEXT(D178,"0000")&amp;"x"&amp;TEXT(E178,"0000")&amp;"-"&amp;IFERROR(VLOOKUP(H178,Lists!$D$4:$E$18,2,0),"??")&amp;"-"&amp;R178)</f>
        <v/>
      </c>
      <c r="B178" s="10" t="str">
        <f aca="false">IF(C178="","",C178&amp;" "&amp;D178&amp;"W x "&amp;E178&amp;"D, "&amp;H178&amp;", "&amp;I178)</f>
        <v/>
      </c>
      <c r="C178" s="9"/>
      <c r="D178" s="36"/>
      <c r="E178" s="36"/>
      <c r="F178" s="36"/>
      <c r="G178" s="36"/>
      <c r="H178" s="9"/>
      <c r="I178" s="9"/>
      <c r="J178" s="9"/>
      <c r="K178" s="9"/>
      <c r="L178" s="3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37"/>
      <c r="Y178" s="38"/>
      <c r="Z178" s="39"/>
      <c r="AA178" s="39"/>
      <c r="AB178" s="9"/>
      <c r="AC178" s="9"/>
      <c r="AD178" s="9"/>
      <c r="AE178" s="9"/>
      <c r="AF178" s="9"/>
      <c r="AG178" s="40"/>
      <c r="AH178" s="10" t="str">
        <f aca="false">IF(C178="","",C178&amp;"|"&amp;D178&amp;"|"&amp;E178&amp;"|"&amp;H178&amp;"|"&amp;S178)</f>
        <v/>
      </c>
    </row>
    <row r="179" customFormat="false" ht="15" hidden="false" customHeight="false" outlineLevel="0" collapsed="false">
      <c r="A179" s="10" t="str">
        <f aca="false">IF(C179="","","DRN-"&amp;IFERROR(VLOOKUP(C179,Lists!$A$4:$B$21,2,0),"??")&amp;"-"&amp;TEXT(D179,"0000")&amp;"x"&amp;TEXT(E179,"0000")&amp;"-"&amp;IFERROR(VLOOKUP(H179,Lists!$D$4:$E$18,2,0),"??")&amp;"-"&amp;R179)</f>
        <v/>
      </c>
      <c r="B179" s="10" t="str">
        <f aca="false">IF(C179="","",C179&amp;" "&amp;D179&amp;"W x "&amp;E179&amp;"D, "&amp;H179&amp;", "&amp;I179)</f>
        <v/>
      </c>
      <c r="C179" s="9"/>
      <c r="D179" s="36"/>
      <c r="E179" s="36"/>
      <c r="F179" s="36"/>
      <c r="G179" s="36"/>
      <c r="H179" s="9"/>
      <c r="I179" s="9"/>
      <c r="J179" s="9"/>
      <c r="K179" s="9"/>
      <c r="L179" s="3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37"/>
      <c r="Y179" s="38"/>
      <c r="Z179" s="39"/>
      <c r="AA179" s="39"/>
      <c r="AB179" s="9"/>
      <c r="AC179" s="9"/>
      <c r="AD179" s="9"/>
      <c r="AE179" s="9"/>
      <c r="AF179" s="9"/>
      <c r="AG179" s="40"/>
      <c r="AH179" s="10" t="str">
        <f aca="false">IF(C179="","",C179&amp;"|"&amp;D179&amp;"|"&amp;E179&amp;"|"&amp;H179&amp;"|"&amp;S179)</f>
        <v/>
      </c>
    </row>
    <row r="180" customFormat="false" ht="15" hidden="false" customHeight="false" outlineLevel="0" collapsed="false">
      <c r="A180" s="10" t="str">
        <f aca="false">IF(C180="","","DRN-"&amp;IFERROR(VLOOKUP(C180,Lists!$A$4:$B$21,2,0),"??")&amp;"-"&amp;TEXT(D180,"0000")&amp;"x"&amp;TEXT(E180,"0000")&amp;"-"&amp;IFERROR(VLOOKUP(H180,Lists!$D$4:$E$18,2,0),"??")&amp;"-"&amp;R180)</f>
        <v/>
      </c>
      <c r="B180" s="10" t="str">
        <f aca="false">IF(C180="","",C180&amp;" "&amp;D180&amp;"W x "&amp;E180&amp;"D, "&amp;H180&amp;", "&amp;I180)</f>
        <v/>
      </c>
      <c r="C180" s="9"/>
      <c r="D180" s="36"/>
      <c r="E180" s="36"/>
      <c r="F180" s="36"/>
      <c r="G180" s="36"/>
      <c r="H180" s="9"/>
      <c r="I180" s="9"/>
      <c r="J180" s="9"/>
      <c r="K180" s="9"/>
      <c r="L180" s="3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37"/>
      <c r="Y180" s="38"/>
      <c r="Z180" s="39"/>
      <c r="AA180" s="39"/>
      <c r="AB180" s="9"/>
      <c r="AC180" s="9"/>
      <c r="AD180" s="9"/>
      <c r="AE180" s="9"/>
      <c r="AF180" s="9"/>
      <c r="AG180" s="40"/>
      <c r="AH180" s="10" t="str">
        <f aca="false">IF(C180="","",C180&amp;"|"&amp;D180&amp;"|"&amp;E180&amp;"|"&amp;H180&amp;"|"&amp;S180)</f>
        <v/>
      </c>
    </row>
    <row r="181" customFormat="false" ht="15" hidden="false" customHeight="false" outlineLevel="0" collapsed="false">
      <c r="A181" s="10" t="str">
        <f aca="false">IF(C181="","","DRN-"&amp;IFERROR(VLOOKUP(C181,Lists!$A$4:$B$21,2,0),"??")&amp;"-"&amp;TEXT(D181,"0000")&amp;"x"&amp;TEXT(E181,"0000")&amp;"-"&amp;IFERROR(VLOOKUP(H181,Lists!$D$4:$E$18,2,0),"??")&amp;"-"&amp;R181)</f>
        <v/>
      </c>
      <c r="B181" s="10" t="str">
        <f aca="false">IF(C181="","",C181&amp;" "&amp;D181&amp;"W x "&amp;E181&amp;"D, "&amp;H181&amp;", "&amp;I181)</f>
        <v/>
      </c>
      <c r="C181" s="9"/>
      <c r="D181" s="36"/>
      <c r="E181" s="36"/>
      <c r="F181" s="36"/>
      <c r="G181" s="36"/>
      <c r="H181" s="9"/>
      <c r="I181" s="9"/>
      <c r="J181" s="9"/>
      <c r="K181" s="9"/>
      <c r="L181" s="3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37"/>
      <c r="Y181" s="38"/>
      <c r="Z181" s="39"/>
      <c r="AA181" s="39"/>
      <c r="AB181" s="9"/>
      <c r="AC181" s="9"/>
      <c r="AD181" s="9"/>
      <c r="AE181" s="9"/>
      <c r="AF181" s="9"/>
      <c r="AG181" s="40"/>
      <c r="AH181" s="10" t="str">
        <f aca="false">IF(C181="","",C181&amp;"|"&amp;D181&amp;"|"&amp;E181&amp;"|"&amp;H181&amp;"|"&amp;S181)</f>
        <v/>
      </c>
    </row>
    <row r="182" customFormat="false" ht="15" hidden="false" customHeight="false" outlineLevel="0" collapsed="false">
      <c r="A182" s="10" t="str">
        <f aca="false">IF(C182="","","DRN-"&amp;IFERROR(VLOOKUP(C182,Lists!$A$4:$B$21,2,0),"??")&amp;"-"&amp;TEXT(D182,"0000")&amp;"x"&amp;TEXT(E182,"0000")&amp;"-"&amp;IFERROR(VLOOKUP(H182,Lists!$D$4:$E$18,2,0),"??")&amp;"-"&amp;R182)</f>
        <v/>
      </c>
      <c r="B182" s="10" t="str">
        <f aca="false">IF(C182="","",C182&amp;" "&amp;D182&amp;"W x "&amp;E182&amp;"D, "&amp;H182&amp;", "&amp;I182)</f>
        <v/>
      </c>
      <c r="C182" s="9"/>
      <c r="D182" s="36"/>
      <c r="E182" s="36"/>
      <c r="F182" s="36"/>
      <c r="G182" s="36"/>
      <c r="H182" s="9"/>
      <c r="I182" s="9"/>
      <c r="J182" s="9"/>
      <c r="K182" s="9"/>
      <c r="L182" s="3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37"/>
      <c r="Y182" s="38"/>
      <c r="Z182" s="39"/>
      <c r="AA182" s="39"/>
      <c r="AB182" s="9"/>
      <c r="AC182" s="9"/>
      <c r="AD182" s="9"/>
      <c r="AE182" s="9"/>
      <c r="AF182" s="9"/>
      <c r="AG182" s="40"/>
      <c r="AH182" s="10" t="str">
        <f aca="false">IF(C182="","",C182&amp;"|"&amp;D182&amp;"|"&amp;E182&amp;"|"&amp;H182&amp;"|"&amp;S182)</f>
        <v/>
      </c>
    </row>
    <row r="183" customFormat="false" ht="15" hidden="false" customHeight="false" outlineLevel="0" collapsed="false">
      <c r="A183" s="10" t="str">
        <f aca="false">IF(C183="","","DRN-"&amp;IFERROR(VLOOKUP(C183,Lists!$A$4:$B$21,2,0),"??")&amp;"-"&amp;TEXT(D183,"0000")&amp;"x"&amp;TEXT(E183,"0000")&amp;"-"&amp;IFERROR(VLOOKUP(H183,Lists!$D$4:$E$18,2,0),"??")&amp;"-"&amp;R183)</f>
        <v/>
      </c>
      <c r="B183" s="10" t="str">
        <f aca="false">IF(C183="","",C183&amp;" "&amp;D183&amp;"W x "&amp;E183&amp;"D, "&amp;H183&amp;", "&amp;I183)</f>
        <v/>
      </c>
      <c r="C183" s="9"/>
      <c r="D183" s="36"/>
      <c r="E183" s="36"/>
      <c r="F183" s="36"/>
      <c r="G183" s="36"/>
      <c r="H183" s="9"/>
      <c r="I183" s="9"/>
      <c r="J183" s="9"/>
      <c r="K183" s="9"/>
      <c r="L183" s="3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37"/>
      <c r="Y183" s="38"/>
      <c r="Z183" s="39"/>
      <c r="AA183" s="39"/>
      <c r="AB183" s="9"/>
      <c r="AC183" s="9"/>
      <c r="AD183" s="9"/>
      <c r="AE183" s="9"/>
      <c r="AF183" s="9"/>
      <c r="AG183" s="40"/>
      <c r="AH183" s="10" t="str">
        <f aca="false">IF(C183="","",C183&amp;"|"&amp;D183&amp;"|"&amp;E183&amp;"|"&amp;H183&amp;"|"&amp;S183)</f>
        <v/>
      </c>
    </row>
    <row r="184" customFormat="false" ht="15" hidden="false" customHeight="false" outlineLevel="0" collapsed="false">
      <c r="A184" s="10" t="str">
        <f aca="false">IF(C184="","","DRN-"&amp;IFERROR(VLOOKUP(C184,Lists!$A$4:$B$21,2,0),"??")&amp;"-"&amp;TEXT(D184,"0000")&amp;"x"&amp;TEXT(E184,"0000")&amp;"-"&amp;IFERROR(VLOOKUP(H184,Lists!$D$4:$E$18,2,0),"??")&amp;"-"&amp;R184)</f>
        <v/>
      </c>
      <c r="B184" s="10" t="str">
        <f aca="false">IF(C184="","",C184&amp;" "&amp;D184&amp;"W x "&amp;E184&amp;"D, "&amp;H184&amp;", "&amp;I184)</f>
        <v/>
      </c>
      <c r="C184" s="9"/>
      <c r="D184" s="36"/>
      <c r="E184" s="36"/>
      <c r="F184" s="36"/>
      <c r="G184" s="36"/>
      <c r="H184" s="9"/>
      <c r="I184" s="9"/>
      <c r="J184" s="9"/>
      <c r="K184" s="9"/>
      <c r="L184" s="3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37"/>
      <c r="Y184" s="38"/>
      <c r="Z184" s="39"/>
      <c r="AA184" s="39"/>
      <c r="AB184" s="9"/>
      <c r="AC184" s="9"/>
      <c r="AD184" s="9"/>
      <c r="AE184" s="9"/>
      <c r="AF184" s="9"/>
      <c r="AG184" s="40"/>
      <c r="AH184" s="10" t="str">
        <f aca="false">IF(C184="","",C184&amp;"|"&amp;D184&amp;"|"&amp;E184&amp;"|"&amp;H184&amp;"|"&amp;S184)</f>
        <v/>
      </c>
    </row>
    <row r="185" customFormat="false" ht="15" hidden="false" customHeight="false" outlineLevel="0" collapsed="false">
      <c r="A185" s="10" t="str">
        <f aca="false">IF(C185="","","DRN-"&amp;IFERROR(VLOOKUP(C185,Lists!$A$4:$B$21,2,0),"??")&amp;"-"&amp;TEXT(D185,"0000")&amp;"x"&amp;TEXT(E185,"0000")&amp;"-"&amp;IFERROR(VLOOKUP(H185,Lists!$D$4:$E$18,2,0),"??")&amp;"-"&amp;R185)</f>
        <v/>
      </c>
      <c r="B185" s="10" t="str">
        <f aca="false">IF(C185="","",C185&amp;" "&amp;D185&amp;"W x "&amp;E185&amp;"D, "&amp;H185&amp;", "&amp;I185)</f>
        <v/>
      </c>
      <c r="C185" s="9"/>
      <c r="D185" s="36"/>
      <c r="E185" s="36"/>
      <c r="F185" s="36"/>
      <c r="G185" s="36"/>
      <c r="H185" s="9"/>
      <c r="I185" s="9"/>
      <c r="J185" s="9"/>
      <c r="K185" s="9"/>
      <c r="L185" s="3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37"/>
      <c r="Y185" s="38"/>
      <c r="Z185" s="39"/>
      <c r="AA185" s="39"/>
      <c r="AB185" s="9"/>
      <c r="AC185" s="9"/>
      <c r="AD185" s="9"/>
      <c r="AE185" s="9"/>
      <c r="AF185" s="9"/>
      <c r="AG185" s="40"/>
      <c r="AH185" s="10" t="str">
        <f aca="false">IF(C185="","",C185&amp;"|"&amp;D185&amp;"|"&amp;E185&amp;"|"&amp;H185&amp;"|"&amp;S185)</f>
        <v/>
      </c>
    </row>
    <row r="186" customFormat="false" ht="15" hidden="false" customHeight="false" outlineLevel="0" collapsed="false">
      <c r="A186" s="10" t="str">
        <f aca="false">IF(C186="","","DRN-"&amp;IFERROR(VLOOKUP(C186,Lists!$A$4:$B$21,2,0),"??")&amp;"-"&amp;TEXT(D186,"0000")&amp;"x"&amp;TEXT(E186,"0000")&amp;"-"&amp;IFERROR(VLOOKUP(H186,Lists!$D$4:$E$18,2,0),"??")&amp;"-"&amp;R186)</f>
        <v/>
      </c>
      <c r="B186" s="10" t="str">
        <f aca="false">IF(C186="","",C186&amp;" "&amp;D186&amp;"W x "&amp;E186&amp;"D, "&amp;H186&amp;", "&amp;I186)</f>
        <v/>
      </c>
      <c r="C186" s="9"/>
      <c r="D186" s="36"/>
      <c r="E186" s="36"/>
      <c r="F186" s="36"/>
      <c r="G186" s="36"/>
      <c r="H186" s="9"/>
      <c r="I186" s="9"/>
      <c r="J186" s="9"/>
      <c r="K186" s="9"/>
      <c r="L186" s="3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37"/>
      <c r="Y186" s="38"/>
      <c r="Z186" s="39"/>
      <c r="AA186" s="39"/>
      <c r="AB186" s="9"/>
      <c r="AC186" s="9"/>
      <c r="AD186" s="9"/>
      <c r="AE186" s="9"/>
      <c r="AF186" s="9"/>
      <c r="AG186" s="40"/>
      <c r="AH186" s="10" t="str">
        <f aca="false">IF(C186="","",C186&amp;"|"&amp;D186&amp;"|"&amp;E186&amp;"|"&amp;H186&amp;"|"&amp;S186)</f>
        <v/>
      </c>
    </row>
    <row r="187" customFormat="false" ht="15" hidden="false" customHeight="false" outlineLevel="0" collapsed="false">
      <c r="A187" s="10" t="str">
        <f aca="false">IF(C187="","","DRN-"&amp;IFERROR(VLOOKUP(C187,Lists!$A$4:$B$21,2,0),"??")&amp;"-"&amp;TEXT(D187,"0000")&amp;"x"&amp;TEXT(E187,"0000")&amp;"-"&amp;IFERROR(VLOOKUP(H187,Lists!$D$4:$E$18,2,0),"??")&amp;"-"&amp;R187)</f>
        <v/>
      </c>
      <c r="B187" s="10" t="str">
        <f aca="false">IF(C187="","",C187&amp;" "&amp;D187&amp;"W x "&amp;E187&amp;"D, "&amp;H187&amp;", "&amp;I187)</f>
        <v/>
      </c>
      <c r="C187" s="9"/>
      <c r="D187" s="36"/>
      <c r="E187" s="36"/>
      <c r="F187" s="36"/>
      <c r="G187" s="36"/>
      <c r="H187" s="9"/>
      <c r="I187" s="9"/>
      <c r="J187" s="9"/>
      <c r="K187" s="9"/>
      <c r="L187" s="3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37"/>
      <c r="Y187" s="38"/>
      <c r="Z187" s="39"/>
      <c r="AA187" s="39"/>
      <c r="AB187" s="9"/>
      <c r="AC187" s="9"/>
      <c r="AD187" s="9"/>
      <c r="AE187" s="9"/>
      <c r="AF187" s="9"/>
      <c r="AG187" s="40"/>
      <c r="AH187" s="10" t="str">
        <f aca="false">IF(C187="","",C187&amp;"|"&amp;D187&amp;"|"&amp;E187&amp;"|"&amp;H187&amp;"|"&amp;S187)</f>
        <v/>
      </c>
    </row>
    <row r="188" customFormat="false" ht="15" hidden="false" customHeight="false" outlineLevel="0" collapsed="false">
      <c r="A188" s="10" t="str">
        <f aca="false">IF(C188="","","DRN-"&amp;IFERROR(VLOOKUP(C188,Lists!$A$4:$B$21,2,0),"??")&amp;"-"&amp;TEXT(D188,"0000")&amp;"x"&amp;TEXT(E188,"0000")&amp;"-"&amp;IFERROR(VLOOKUP(H188,Lists!$D$4:$E$18,2,0),"??")&amp;"-"&amp;R188)</f>
        <v/>
      </c>
      <c r="B188" s="10" t="str">
        <f aca="false">IF(C188="","",C188&amp;" "&amp;D188&amp;"W x "&amp;E188&amp;"D, "&amp;H188&amp;", "&amp;I188)</f>
        <v/>
      </c>
      <c r="C188" s="9"/>
      <c r="D188" s="36"/>
      <c r="E188" s="36"/>
      <c r="F188" s="36"/>
      <c r="G188" s="36"/>
      <c r="H188" s="9"/>
      <c r="I188" s="9"/>
      <c r="J188" s="9"/>
      <c r="K188" s="9"/>
      <c r="L188" s="3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37"/>
      <c r="Y188" s="38"/>
      <c r="Z188" s="39"/>
      <c r="AA188" s="39"/>
      <c r="AB188" s="9"/>
      <c r="AC188" s="9"/>
      <c r="AD188" s="9"/>
      <c r="AE188" s="9"/>
      <c r="AF188" s="9"/>
      <c r="AG188" s="40"/>
      <c r="AH188" s="10" t="str">
        <f aca="false">IF(C188="","",C188&amp;"|"&amp;D188&amp;"|"&amp;E188&amp;"|"&amp;H188&amp;"|"&amp;S188)</f>
        <v/>
      </c>
    </row>
    <row r="189" customFormat="false" ht="15" hidden="false" customHeight="false" outlineLevel="0" collapsed="false">
      <c r="A189" s="10" t="str">
        <f aca="false">IF(C189="","","DRN-"&amp;IFERROR(VLOOKUP(C189,Lists!$A$4:$B$21,2,0),"??")&amp;"-"&amp;TEXT(D189,"0000")&amp;"x"&amp;TEXT(E189,"0000")&amp;"-"&amp;IFERROR(VLOOKUP(H189,Lists!$D$4:$E$18,2,0),"??")&amp;"-"&amp;R189)</f>
        <v/>
      </c>
      <c r="B189" s="10" t="str">
        <f aca="false">IF(C189="","",C189&amp;" "&amp;D189&amp;"W x "&amp;E189&amp;"D, "&amp;H189&amp;", "&amp;I189)</f>
        <v/>
      </c>
      <c r="C189" s="9"/>
      <c r="D189" s="36"/>
      <c r="E189" s="36"/>
      <c r="F189" s="36"/>
      <c r="G189" s="36"/>
      <c r="H189" s="9"/>
      <c r="I189" s="9"/>
      <c r="J189" s="9"/>
      <c r="K189" s="9"/>
      <c r="L189" s="3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37"/>
      <c r="Y189" s="38"/>
      <c r="Z189" s="39"/>
      <c r="AA189" s="39"/>
      <c r="AB189" s="9"/>
      <c r="AC189" s="9"/>
      <c r="AD189" s="9"/>
      <c r="AE189" s="9"/>
      <c r="AF189" s="9"/>
      <c r="AG189" s="40"/>
      <c r="AH189" s="10" t="str">
        <f aca="false">IF(C189="","",C189&amp;"|"&amp;D189&amp;"|"&amp;E189&amp;"|"&amp;H189&amp;"|"&amp;S189)</f>
        <v/>
      </c>
    </row>
    <row r="190" customFormat="false" ht="15" hidden="false" customHeight="false" outlineLevel="0" collapsed="false">
      <c r="A190" s="10" t="str">
        <f aca="false">IF(C190="","","DRN-"&amp;IFERROR(VLOOKUP(C190,Lists!$A$4:$B$21,2,0),"??")&amp;"-"&amp;TEXT(D190,"0000")&amp;"x"&amp;TEXT(E190,"0000")&amp;"-"&amp;IFERROR(VLOOKUP(H190,Lists!$D$4:$E$18,2,0),"??")&amp;"-"&amp;R190)</f>
        <v/>
      </c>
      <c r="B190" s="10" t="str">
        <f aca="false">IF(C190="","",C190&amp;" "&amp;D190&amp;"W x "&amp;E190&amp;"D, "&amp;H190&amp;", "&amp;I190)</f>
        <v/>
      </c>
      <c r="C190" s="9"/>
      <c r="D190" s="36"/>
      <c r="E190" s="36"/>
      <c r="F190" s="36"/>
      <c r="G190" s="36"/>
      <c r="H190" s="9"/>
      <c r="I190" s="9"/>
      <c r="J190" s="9"/>
      <c r="K190" s="9"/>
      <c r="L190" s="3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37"/>
      <c r="Y190" s="38"/>
      <c r="Z190" s="39"/>
      <c r="AA190" s="39"/>
      <c r="AB190" s="9"/>
      <c r="AC190" s="9"/>
      <c r="AD190" s="9"/>
      <c r="AE190" s="9"/>
      <c r="AF190" s="9"/>
      <c r="AG190" s="40"/>
      <c r="AH190" s="10" t="str">
        <f aca="false">IF(C190="","",C190&amp;"|"&amp;D190&amp;"|"&amp;E190&amp;"|"&amp;H190&amp;"|"&amp;S190)</f>
        <v/>
      </c>
    </row>
    <row r="191" customFormat="false" ht="15" hidden="false" customHeight="false" outlineLevel="0" collapsed="false">
      <c r="A191" s="10" t="str">
        <f aca="false">IF(C191="","","DRN-"&amp;IFERROR(VLOOKUP(C191,Lists!$A$4:$B$21,2,0),"??")&amp;"-"&amp;TEXT(D191,"0000")&amp;"x"&amp;TEXT(E191,"0000")&amp;"-"&amp;IFERROR(VLOOKUP(H191,Lists!$D$4:$E$18,2,0),"??")&amp;"-"&amp;R191)</f>
        <v/>
      </c>
      <c r="B191" s="10" t="str">
        <f aca="false">IF(C191="","",C191&amp;" "&amp;D191&amp;"W x "&amp;E191&amp;"D, "&amp;H191&amp;", "&amp;I191)</f>
        <v/>
      </c>
      <c r="C191" s="9"/>
      <c r="D191" s="36"/>
      <c r="E191" s="36"/>
      <c r="F191" s="36"/>
      <c r="G191" s="36"/>
      <c r="H191" s="9"/>
      <c r="I191" s="9"/>
      <c r="J191" s="9"/>
      <c r="K191" s="9"/>
      <c r="L191" s="3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37"/>
      <c r="Y191" s="38"/>
      <c r="Z191" s="39"/>
      <c r="AA191" s="39"/>
      <c r="AB191" s="9"/>
      <c r="AC191" s="9"/>
      <c r="AD191" s="9"/>
      <c r="AE191" s="9"/>
      <c r="AF191" s="9"/>
      <c r="AG191" s="40"/>
      <c r="AH191" s="10" t="str">
        <f aca="false">IF(C191="","",C191&amp;"|"&amp;D191&amp;"|"&amp;E191&amp;"|"&amp;H191&amp;"|"&amp;S191)</f>
        <v/>
      </c>
    </row>
    <row r="192" customFormat="false" ht="15" hidden="false" customHeight="false" outlineLevel="0" collapsed="false">
      <c r="A192" s="10" t="str">
        <f aca="false">IF(C192="","","DRN-"&amp;IFERROR(VLOOKUP(C192,Lists!$A$4:$B$21,2,0),"??")&amp;"-"&amp;TEXT(D192,"0000")&amp;"x"&amp;TEXT(E192,"0000")&amp;"-"&amp;IFERROR(VLOOKUP(H192,Lists!$D$4:$E$18,2,0),"??")&amp;"-"&amp;R192)</f>
        <v/>
      </c>
      <c r="B192" s="10" t="str">
        <f aca="false">IF(C192="","",C192&amp;" "&amp;D192&amp;"W x "&amp;E192&amp;"D, "&amp;H192&amp;", "&amp;I192)</f>
        <v/>
      </c>
      <c r="C192" s="9"/>
      <c r="D192" s="36"/>
      <c r="E192" s="36"/>
      <c r="F192" s="36"/>
      <c r="G192" s="36"/>
      <c r="H192" s="9"/>
      <c r="I192" s="9"/>
      <c r="J192" s="9"/>
      <c r="K192" s="9"/>
      <c r="L192" s="3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37"/>
      <c r="Y192" s="38"/>
      <c r="Z192" s="39"/>
      <c r="AA192" s="39"/>
      <c r="AB192" s="9"/>
      <c r="AC192" s="9"/>
      <c r="AD192" s="9"/>
      <c r="AE192" s="9"/>
      <c r="AF192" s="9"/>
      <c r="AG192" s="40"/>
      <c r="AH192" s="10" t="str">
        <f aca="false">IF(C192="","",C192&amp;"|"&amp;D192&amp;"|"&amp;E192&amp;"|"&amp;H192&amp;"|"&amp;S192)</f>
        <v/>
      </c>
    </row>
    <row r="193" customFormat="false" ht="15" hidden="false" customHeight="false" outlineLevel="0" collapsed="false">
      <c r="A193" s="10" t="str">
        <f aca="false">IF(C193="","","DRN-"&amp;IFERROR(VLOOKUP(C193,Lists!$A$4:$B$21,2,0),"??")&amp;"-"&amp;TEXT(D193,"0000")&amp;"x"&amp;TEXT(E193,"0000")&amp;"-"&amp;IFERROR(VLOOKUP(H193,Lists!$D$4:$E$18,2,0),"??")&amp;"-"&amp;R193)</f>
        <v/>
      </c>
      <c r="B193" s="10" t="str">
        <f aca="false">IF(C193="","",C193&amp;" "&amp;D193&amp;"W x "&amp;E193&amp;"D, "&amp;H193&amp;", "&amp;I193)</f>
        <v/>
      </c>
      <c r="C193" s="9"/>
      <c r="D193" s="36"/>
      <c r="E193" s="36"/>
      <c r="F193" s="36"/>
      <c r="G193" s="36"/>
      <c r="H193" s="9"/>
      <c r="I193" s="9"/>
      <c r="J193" s="9"/>
      <c r="K193" s="9"/>
      <c r="L193" s="3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37"/>
      <c r="Y193" s="38"/>
      <c r="Z193" s="39"/>
      <c r="AA193" s="39"/>
      <c r="AB193" s="9"/>
      <c r="AC193" s="9"/>
      <c r="AD193" s="9"/>
      <c r="AE193" s="9"/>
      <c r="AF193" s="9"/>
      <c r="AG193" s="40"/>
      <c r="AH193" s="10" t="str">
        <f aca="false">IF(C193="","",C193&amp;"|"&amp;D193&amp;"|"&amp;E193&amp;"|"&amp;H193&amp;"|"&amp;S193)</f>
        <v/>
      </c>
    </row>
    <row r="194" customFormat="false" ht="15" hidden="false" customHeight="false" outlineLevel="0" collapsed="false">
      <c r="A194" s="10" t="str">
        <f aca="false">IF(C194="","","DRN-"&amp;IFERROR(VLOOKUP(C194,Lists!$A$4:$B$21,2,0),"??")&amp;"-"&amp;TEXT(D194,"0000")&amp;"x"&amp;TEXT(E194,"0000")&amp;"-"&amp;IFERROR(VLOOKUP(H194,Lists!$D$4:$E$18,2,0),"??")&amp;"-"&amp;R194)</f>
        <v/>
      </c>
      <c r="B194" s="10" t="str">
        <f aca="false">IF(C194="","",C194&amp;" "&amp;D194&amp;"W x "&amp;E194&amp;"D, "&amp;H194&amp;", "&amp;I194)</f>
        <v/>
      </c>
      <c r="C194" s="9"/>
      <c r="D194" s="36"/>
      <c r="E194" s="36"/>
      <c r="F194" s="36"/>
      <c r="G194" s="36"/>
      <c r="H194" s="9"/>
      <c r="I194" s="9"/>
      <c r="J194" s="9"/>
      <c r="K194" s="9"/>
      <c r="L194" s="3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37"/>
      <c r="Y194" s="38"/>
      <c r="Z194" s="39"/>
      <c r="AA194" s="39"/>
      <c r="AB194" s="9"/>
      <c r="AC194" s="9"/>
      <c r="AD194" s="9"/>
      <c r="AE194" s="9"/>
      <c r="AF194" s="9"/>
      <c r="AG194" s="40"/>
      <c r="AH194" s="10" t="str">
        <f aca="false">IF(C194="","",C194&amp;"|"&amp;D194&amp;"|"&amp;E194&amp;"|"&amp;H194&amp;"|"&amp;S194)</f>
        <v/>
      </c>
    </row>
    <row r="195" customFormat="false" ht="15" hidden="false" customHeight="false" outlineLevel="0" collapsed="false">
      <c r="A195" s="10" t="str">
        <f aca="false">IF(C195="","","DRN-"&amp;IFERROR(VLOOKUP(C195,Lists!$A$4:$B$21,2,0),"??")&amp;"-"&amp;TEXT(D195,"0000")&amp;"x"&amp;TEXT(E195,"0000")&amp;"-"&amp;IFERROR(VLOOKUP(H195,Lists!$D$4:$E$18,2,0),"??")&amp;"-"&amp;R195)</f>
        <v/>
      </c>
      <c r="B195" s="10" t="str">
        <f aca="false">IF(C195="","",C195&amp;" "&amp;D195&amp;"W x "&amp;E195&amp;"D, "&amp;H195&amp;", "&amp;I195)</f>
        <v/>
      </c>
      <c r="C195" s="9"/>
      <c r="D195" s="36"/>
      <c r="E195" s="36"/>
      <c r="F195" s="36"/>
      <c r="G195" s="36"/>
      <c r="H195" s="9"/>
      <c r="I195" s="9"/>
      <c r="J195" s="9"/>
      <c r="K195" s="9"/>
      <c r="L195" s="3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37"/>
      <c r="Y195" s="38"/>
      <c r="Z195" s="39"/>
      <c r="AA195" s="39"/>
      <c r="AB195" s="9"/>
      <c r="AC195" s="9"/>
      <c r="AD195" s="9"/>
      <c r="AE195" s="9"/>
      <c r="AF195" s="9"/>
      <c r="AG195" s="40"/>
      <c r="AH195" s="10" t="str">
        <f aca="false">IF(C195="","",C195&amp;"|"&amp;D195&amp;"|"&amp;E195&amp;"|"&amp;H195&amp;"|"&amp;S195)</f>
        <v/>
      </c>
    </row>
    <row r="196" customFormat="false" ht="15" hidden="false" customHeight="false" outlineLevel="0" collapsed="false">
      <c r="A196" s="10" t="str">
        <f aca="false">IF(C196="","","DRN-"&amp;IFERROR(VLOOKUP(C196,Lists!$A$4:$B$21,2,0),"??")&amp;"-"&amp;TEXT(D196,"0000")&amp;"x"&amp;TEXT(E196,"0000")&amp;"-"&amp;IFERROR(VLOOKUP(H196,Lists!$D$4:$E$18,2,0),"??")&amp;"-"&amp;R196)</f>
        <v/>
      </c>
      <c r="B196" s="10" t="str">
        <f aca="false">IF(C196="","",C196&amp;" "&amp;D196&amp;"W x "&amp;E196&amp;"D, "&amp;H196&amp;", "&amp;I196)</f>
        <v/>
      </c>
      <c r="C196" s="9"/>
      <c r="D196" s="36"/>
      <c r="E196" s="36"/>
      <c r="F196" s="36"/>
      <c r="G196" s="36"/>
      <c r="H196" s="9"/>
      <c r="I196" s="9"/>
      <c r="J196" s="9"/>
      <c r="K196" s="9"/>
      <c r="L196" s="3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37"/>
      <c r="Y196" s="38"/>
      <c r="Z196" s="39"/>
      <c r="AA196" s="39"/>
      <c r="AB196" s="9"/>
      <c r="AC196" s="9"/>
      <c r="AD196" s="9"/>
      <c r="AE196" s="9"/>
      <c r="AF196" s="9"/>
      <c r="AG196" s="40"/>
      <c r="AH196" s="10" t="str">
        <f aca="false">IF(C196="","",C196&amp;"|"&amp;D196&amp;"|"&amp;E196&amp;"|"&amp;H196&amp;"|"&amp;S196)</f>
        <v/>
      </c>
    </row>
    <row r="197" customFormat="false" ht="15" hidden="false" customHeight="false" outlineLevel="0" collapsed="false">
      <c r="A197" s="10" t="str">
        <f aca="false">IF(C197="","","DRN-"&amp;IFERROR(VLOOKUP(C197,Lists!$A$4:$B$21,2,0),"??")&amp;"-"&amp;TEXT(D197,"0000")&amp;"x"&amp;TEXT(E197,"0000")&amp;"-"&amp;IFERROR(VLOOKUP(H197,Lists!$D$4:$E$18,2,0),"??")&amp;"-"&amp;R197)</f>
        <v/>
      </c>
      <c r="B197" s="10" t="str">
        <f aca="false">IF(C197="","",C197&amp;" "&amp;D197&amp;"W x "&amp;E197&amp;"D, "&amp;H197&amp;", "&amp;I197)</f>
        <v/>
      </c>
      <c r="C197" s="9"/>
      <c r="D197" s="36"/>
      <c r="E197" s="36"/>
      <c r="F197" s="36"/>
      <c r="G197" s="36"/>
      <c r="H197" s="9"/>
      <c r="I197" s="9"/>
      <c r="J197" s="9"/>
      <c r="K197" s="9"/>
      <c r="L197" s="3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37"/>
      <c r="Y197" s="38"/>
      <c r="Z197" s="39"/>
      <c r="AA197" s="39"/>
      <c r="AB197" s="9"/>
      <c r="AC197" s="9"/>
      <c r="AD197" s="9"/>
      <c r="AE197" s="9"/>
      <c r="AF197" s="9"/>
      <c r="AG197" s="40"/>
      <c r="AH197" s="10" t="str">
        <f aca="false">IF(C197="","",C197&amp;"|"&amp;D197&amp;"|"&amp;E197&amp;"|"&amp;H197&amp;"|"&amp;S197)</f>
        <v/>
      </c>
    </row>
    <row r="198" customFormat="false" ht="15" hidden="false" customHeight="false" outlineLevel="0" collapsed="false">
      <c r="A198" s="10" t="str">
        <f aca="false">IF(C198="","","DRN-"&amp;IFERROR(VLOOKUP(C198,Lists!$A$4:$B$21,2,0),"??")&amp;"-"&amp;TEXT(D198,"0000")&amp;"x"&amp;TEXT(E198,"0000")&amp;"-"&amp;IFERROR(VLOOKUP(H198,Lists!$D$4:$E$18,2,0),"??")&amp;"-"&amp;R198)</f>
        <v/>
      </c>
      <c r="B198" s="10" t="str">
        <f aca="false">IF(C198="","",C198&amp;" "&amp;D198&amp;"W x "&amp;E198&amp;"D, "&amp;H198&amp;", "&amp;I198)</f>
        <v/>
      </c>
      <c r="C198" s="9"/>
      <c r="D198" s="36"/>
      <c r="E198" s="36"/>
      <c r="F198" s="36"/>
      <c r="G198" s="36"/>
      <c r="H198" s="9"/>
      <c r="I198" s="9"/>
      <c r="J198" s="9"/>
      <c r="K198" s="9"/>
      <c r="L198" s="3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37"/>
      <c r="Y198" s="38"/>
      <c r="Z198" s="39"/>
      <c r="AA198" s="39"/>
      <c r="AB198" s="9"/>
      <c r="AC198" s="9"/>
      <c r="AD198" s="9"/>
      <c r="AE198" s="9"/>
      <c r="AF198" s="9"/>
      <c r="AG198" s="40"/>
      <c r="AH198" s="10" t="str">
        <f aca="false">IF(C198="","",C198&amp;"|"&amp;D198&amp;"|"&amp;E198&amp;"|"&amp;H198&amp;"|"&amp;S198)</f>
        <v/>
      </c>
    </row>
    <row r="199" customFormat="false" ht="15" hidden="false" customHeight="false" outlineLevel="0" collapsed="false">
      <c r="A199" s="10" t="str">
        <f aca="false">IF(C199="","","DRN-"&amp;IFERROR(VLOOKUP(C199,Lists!$A$4:$B$21,2,0),"??")&amp;"-"&amp;TEXT(D199,"0000")&amp;"x"&amp;TEXT(E199,"0000")&amp;"-"&amp;IFERROR(VLOOKUP(H199,Lists!$D$4:$E$18,2,0),"??")&amp;"-"&amp;R199)</f>
        <v/>
      </c>
      <c r="B199" s="10" t="str">
        <f aca="false">IF(C199="","",C199&amp;" "&amp;D199&amp;"W x "&amp;E199&amp;"D, "&amp;H199&amp;", "&amp;I199)</f>
        <v/>
      </c>
      <c r="C199" s="9"/>
      <c r="D199" s="36"/>
      <c r="E199" s="36"/>
      <c r="F199" s="36"/>
      <c r="G199" s="36"/>
      <c r="H199" s="9"/>
      <c r="I199" s="9"/>
      <c r="J199" s="9"/>
      <c r="K199" s="9"/>
      <c r="L199" s="3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37"/>
      <c r="Y199" s="38"/>
      <c r="Z199" s="39"/>
      <c r="AA199" s="39"/>
      <c r="AB199" s="9"/>
      <c r="AC199" s="9"/>
      <c r="AD199" s="9"/>
      <c r="AE199" s="9"/>
      <c r="AF199" s="9"/>
      <c r="AG199" s="40"/>
      <c r="AH199" s="10" t="str">
        <f aca="false">IF(C199="","",C199&amp;"|"&amp;D199&amp;"|"&amp;E199&amp;"|"&amp;H199&amp;"|"&amp;S199)</f>
        <v/>
      </c>
    </row>
    <row r="200" customFormat="false" ht="15" hidden="false" customHeight="false" outlineLevel="0" collapsed="false">
      <c r="A200" s="10" t="str">
        <f aca="false">IF(C200="","","DRN-"&amp;IFERROR(VLOOKUP(C200,Lists!$A$4:$B$21,2,0),"??")&amp;"-"&amp;TEXT(D200,"0000")&amp;"x"&amp;TEXT(E200,"0000")&amp;"-"&amp;IFERROR(VLOOKUP(H200,Lists!$D$4:$E$18,2,0),"??")&amp;"-"&amp;R200)</f>
        <v/>
      </c>
      <c r="B200" s="10" t="str">
        <f aca="false">IF(C200="","",C200&amp;" "&amp;D200&amp;"W x "&amp;E200&amp;"D, "&amp;H200&amp;", "&amp;I200)</f>
        <v/>
      </c>
      <c r="C200" s="9"/>
      <c r="D200" s="36"/>
      <c r="E200" s="36"/>
      <c r="F200" s="36"/>
      <c r="G200" s="36"/>
      <c r="H200" s="9"/>
      <c r="I200" s="9"/>
      <c r="J200" s="9"/>
      <c r="K200" s="9"/>
      <c r="L200" s="3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37"/>
      <c r="Y200" s="38"/>
      <c r="Z200" s="39"/>
      <c r="AA200" s="39"/>
      <c r="AB200" s="9"/>
      <c r="AC200" s="9"/>
      <c r="AD200" s="9"/>
      <c r="AE200" s="9"/>
      <c r="AF200" s="9"/>
      <c r="AG200" s="40"/>
      <c r="AH200" s="10" t="str">
        <f aca="false">IF(C200="","",C200&amp;"|"&amp;D200&amp;"|"&amp;E200&amp;"|"&amp;H200&amp;"|"&amp;S200)</f>
        <v/>
      </c>
    </row>
    <row r="201" customFormat="false" ht="15" hidden="false" customHeight="false" outlineLevel="0" collapsed="false">
      <c r="A201" s="10" t="str">
        <f aca="false">IF(C201="","","DRN-"&amp;IFERROR(VLOOKUP(C201,Lists!$A$4:$B$21,2,0),"??")&amp;"-"&amp;TEXT(D201,"0000")&amp;"x"&amp;TEXT(E201,"0000")&amp;"-"&amp;IFERROR(VLOOKUP(H201,Lists!$D$4:$E$18,2,0),"??")&amp;"-"&amp;R201)</f>
        <v/>
      </c>
      <c r="B201" s="10" t="str">
        <f aca="false">IF(C201="","",C201&amp;" "&amp;D201&amp;"W x "&amp;E201&amp;"D, "&amp;H201&amp;", "&amp;I201)</f>
        <v/>
      </c>
      <c r="C201" s="9"/>
      <c r="D201" s="36"/>
      <c r="E201" s="36"/>
      <c r="F201" s="36"/>
      <c r="G201" s="36"/>
      <c r="H201" s="9"/>
      <c r="I201" s="9"/>
      <c r="J201" s="9"/>
      <c r="K201" s="9"/>
      <c r="L201" s="36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37"/>
      <c r="Y201" s="38"/>
      <c r="Z201" s="39"/>
      <c r="AA201" s="39"/>
      <c r="AB201" s="9"/>
      <c r="AC201" s="9"/>
      <c r="AD201" s="9"/>
      <c r="AE201" s="9"/>
      <c r="AF201" s="9"/>
      <c r="AG201" s="40"/>
      <c r="AH201" s="10" t="str">
        <f aca="false">IF(C201="","",C201&amp;"|"&amp;D201&amp;"|"&amp;E201&amp;"|"&amp;H201&amp;"|"&amp;S201)</f>
        <v/>
      </c>
    </row>
    <row r="202" customFormat="false" ht="15" hidden="false" customHeight="false" outlineLevel="0" collapsed="false">
      <c r="A202" s="10" t="str">
        <f aca="false">IF(C202="","","DRN-"&amp;IFERROR(VLOOKUP(C202,Lists!$A$4:$B$21,2,0),"??")&amp;"-"&amp;TEXT(D202,"0000")&amp;"x"&amp;TEXT(E202,"0000")&amp;"-"&amp;IFERROR(VLOOKUP(H202,Lists!$D$4:$E$18,2,0),"??")&amp;"-"&amp;R202)</f>
        <v/>
      </c>
      <c r="B202" s="10" t="str">
        <f aca="false">IF(C202="","",C202&amp;" "&amp;D202&amp;"W x "&amp;E202&amp;"D, "&amp;H202&amp;", "&amp;I202)</f>
        <v/>
      </c>
      <c r="C202" s="9"/>
      <c r="D202" s="36"/>
      <c r="E202" s="36"/>
      <c r="F202" s="36"/>
      <c r="G202" s="36"/>
      <c r="H202" s="9"/>
      <c r="I202" s="9"/>
      <c r="J202" s="9"/>
      <c r="K202" s="9"/>
      <c r="L202" s="36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37"/>
      <c r="Y202" s="38"/>
      <c r="Z202" s="39"/>
      <c r="AA202" s="39"/>
      <c r="AB202" s="9"/>
      <c r="AC202" s="9"/>
      <c r="AD202" s="9"/>
      <c r="AE202" s="9"/>
      <c r="AF202" s="9"/>
      <c r="AG202" s="40"/>
      <c r="AH202" s="10" t="str">
        <f aca="false">IF(C202="","",C202&amp;"|"&amp;D202&amp;"|"&amp;E202&amp;"|"&amp;H202&amp;"|"&amp;S202)</f>
        <v/>
      </c>
    </row>
    <row r="203" customFormat="false" ht="15" hidden="false" customHeight="false" outlineLevel="0" collapsed="false">
      <c r="A203" s="10" t="str">
        <f aca="false">IF(C203="","","DRN-"&amp;IFERROR(VLOOKUP(C203,Lists!$A$4:$B$21,2,0),"??")&amp;"-"&amp;TEXT(D203,"0000")&amp;"x"&amp;TEXT(E203,"0000")&amp;"-"&amp;IFERROR(VLOOKUP(H203,Lists!$D$4:$E$18,2,0),"??")&amp;"-"&amp;R203)</f>
        <v/>
      </c>
      <c r="B203" s="10" t="str">
        <f aca="false">IF(C203="","",C203&amp;" "&amp;D203&amp;"W x "&amp;E203&amp;"D, "&amp;H203&amp;", "&amp;I203)</f>
        <v/>
      </c>
      <c r="C203" s="9"/>
      <c r="D203" s="36"/>
      <c r="E203" s="36"/>
      <c r="F203" s="36"/>
      <c r="G203" s="36"/>
      <c r="H203" s="9"/>
      <c r="I203" s="9"/>
      <c r="J203" s="9"/>
      <c r="K203" s="9"/>
      <c r="L203" s="36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37"/>
      <c r="Y203" s="38"/>
      <c r="Z203" s="39"/>
      <c r="AA203" s="39"/>
      <c r="AB203" s="9"/>
      <c r="AC203" s="9"/>
      <c r="AD203" s="9"/>
      <c r="AE203" s="9"/>
      <c r="AF203" s="9"/>
      <c r="AG203" s="40"/>
      <c r="AH203" s="10" t="str">
        <f aca="false">IF(C203="","",C203&amp;"|"&amp;D203&amp;"|"&amp;E203&amp;"|"&amp;H203&amp;"|"&amp;S203)</f>
        <v/>
      </c>
    </row>
    <row r="204" customFormat="false" ht="15" hidden="false" customHeight="false" outlineLevel="0" collapsed="false">
      <c r="A204" s="10" t="str">
        <f aca="false">IF(C204="","","DRN-"&amp;IFERROR(VLOOKUP(C204,Lists!$A$4:$B$21,2,0),"??")&amp;"-"&amp;TEXT(D204,"0000")&amp;"x"&amp;TEXT(E204,"0000")&amp;"-"&amp;IFERROR(VLOOKUP(H204,Lists!$D$4:$E$18,2,0),"??")&amp;"-"&amp;R204)</f>
        <v/>
      </c>
      <c r="B204" s="10" t="str">
        <f aca="false">IF(C204="","",C204&amp;" "&amp;D204&amp;"W x "&amp;E204&amp;"D, "&amp;H204&amp;", "&amp;I204)</f>
        <v/>
      </c>
      <c r="C204" s="9"/>
      <c r="D204" s="36"/>
      <c r="E204" s="36"/>
      <c r="F204" s="36"/>
      <c r="G204" s="36"/>
      <c r="H204" s="9"/>
      <c r="I204" s="9"/>
      <c r="J204" s="9"/>
      <c r="K204" s="9"/>
      <c r="L204" s="36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37"/>
      <c r="Y204" s="38"/>
      <c r="Z204" s="39"/>
      <c r="AA204" s="39"/>
      <c r="AB204" s="9"/>
      <c r="AC204" s="9"/>
      <c r="AD204" s="9"/>
      <c r="AE204" s="9"/>
      <c r="AF204" s="9"/>
      <c r="AG204" s="40"/>
      <c r="AH204" s="10" t="str">
        <f aca="false">IF(C204="","",C204&amp;"|"&amp;D204&amp;"|"&amp;E204&amp;"|"&amp;H204&amp;"|"&amp;S204)</f>
        <v/>
      </c>
    </row>
    <row r="205" customFormat="false" ht="15" hidden="false" customHeight="false" outlineLevel="0" collapsed="false">
      <c r="A205" s="10" t="str">
        <f aca="false">IF(C205="","","DRN-"&amp;IFERROR(VLOOKUP(C205,Lists!$A$4:$B$21,2,0),"??")&amp;"-"&amp;TEXT(D205,"0000")&amp;"x"&amp;TEXT(E205,"0000")&amp;"-"&amp;IFERROR(VLOOKUP(H205,Lists!$D$4:$E$18,2,0),"??")&amp;"-"&amp;R205)</f>
        <v/>
      </c>
      <c r="B205" s="10" t="str">
        <f aca="false">IF(C205="","",C205&amp;" "&amp;D205&amp;"W x "&amp;E205&amp;"D, "&amp;H205&amp;", "&amp;I205)</f>
        <v/>
      </c>
      <c r="C205" s="9"/>
      <c r="D205" s="36"/>
      <c r="E205" s="36"/>
      <c r="F205" s="36"/>
      <c r="G205" s="36"/>
      <c r="H205" s="9"/>
      <c r="I205" s="9"/>
      <c r="J205" s="9"/>
      <c r="K205" s="9"/>
      <c r="L205" s="36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37"/>
      <c r="Y205" s="38"/>
      <c r="Z205" s="39"/>
      <c r="AA205" s="39"/>
      <c r="AB205" s="9"/>
      <c r="AC205" s="9"/>
      <c r="AD205" s="9"/>
      <c r="AE205" s="9"/>
      <c r="AF205" s="9"/>
      <c r="AG205" s="40"/>
      <c r="AH205" s="10" t="str">
        <f aca="false">IF(C205="","",C205&amp;"|"&amp;D205&amp;"|"&amp;E205&amp;"|"&amp;H205&amp;"|"&amp;S205)</f>
        <v/>
      </c>
    </row>
    <row r="206" customFormat="false" ht="15" hidden="false" customHeight="false" outlineLevel="0" collapsed="false">
      <c r="A206" s="10" t="str">
        <f aca="false">IF(C206="","","DRN-"&amp;IFERROR(VLOOKUP(C206,Lists!$A$4:$B$21,2,0),"??")&amp;"-"&amp;TEXT(D206,"0000")&amp;"x"&amp;TEXT(E206,"0000")&amp;"-"&amp;IFERROR(VLOOKUP(H206,Lists!$D$4:$E$18,2,0),"??")&amp;"-"&amp;R206)</f>
        <v/>
      </c>
      <c r="B206" s="10" t="str">
        <f aca="false">IF(C206="","",C206&amp;" "&amp;D206&amp;"W x "&amp;E206&amp;"D, "&amp;H206&amp;", "&amp;I206)</f>
        <v/>
      </c>
      <c r="C206" s="9"/>
      <c r="D206" s="36"/>
      <c r="E206" s="36"/>
      <c r="F206" s="36"/>
      <c r="G206" s="36"/>
      <c r="H206" s="9"/>
      <c r="I206" s="9"/>
      <c r="J206" s="9"/>
      <c r="K206" s="9"/>
      <c r="L206" s="36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37"/>
      <c r="Y206" s="38"/>
      <c r="Z206" s="39"/>
      <c r="AA206" s="39"/>
      <c r="AB206" s="9"/>
      <c r="AC206" s="9"/>
      <c r="AD206" s="9"/>
      <c r="AE206" s="9"/>
      <c r="AF206" s="9"/>
      <c r="AG206" s="40"/>
      <c r="AH206" s="10" t="str">
        <f aca="false">IF(C206="","",C206&amp;"|"&amp;D206&amp;"|"&amp;E206&amp;"|"&amp;H206&amp;"|"&amp;S206)</f>
        <v/>
      </c>
    </row>
    <row r="207" customFormat="false" ht="15" hidden="false" customHeight="false" outlineLevel="0" collapsed="false">
      <c r="A207" s="10" t="str">
        <f aca="false">IF(C207="","","DRN-"&amp;IFERROR(VLOOKUP(C207,Lists!$A$4:$B$21,2,0),"??")&amp;"-"&amp;TEXT(D207,"0000")&amp;"x"&amp;TEXT(E207,"0000")&amp;"-"&amp;IFERROR(VLOOKUP(H207,Lists!$D$4:$E$18,2,0),"??")&amp;"-"&amp;R207)</f>
        <v/>
      </c>
      <c r="B207" s="10" t="str">
        <f aca="false">IF(C207="","",C207&amp;" "&amp;D207&amp;"W x "&amp;E207&amp;"D, "&amp;H207&amp;", "&amp;I207)</f>
        <v/>
      </c>
      <c r="C207" s="9"/>
      <c r="D207" s="36"/>
      <c r="E207" s="36"/>
      <c r="F207" s="36"/>
      <c r="G207" s="36"/>
      <c r="H207" s="9"/>
      <c r="I207" s="9"/>
      <c r="J207" s="9"/>
      <c r="K207" s="9"/>
      <c r="L207" s="36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37"/>
      <c r="Y207" s="38"/>
      <c r="Z207" s="39"/>
      <c r="AA207" s="39"/>
      <c r="AB207" s="9"/>
      <c r="AC207" s="9"/>
      <c r="AD207" s="9"/>
      <c r="AE207" s="9"/>
      <c r="AF207" s="9"/>
      <c r="AG207" s="40"/>
      <c r="AH207" s="10" t="str">
        <f aca="false">IF(C207="","",C207&amp;"|"&amp;D207&amp;"|"&amp;E207&amp;"|"&amp;H207&amp;"|"&amp;S207)</f>
        <v/>
      </c>
    </row>
    <row r="208" customFormat="false" ht="15" hidden="false" customHeight="false" outlineLevel="0" collapsed="false">
      <c r="A208" s="10" t="str">
        <f aca="false">IF(C208="","","DRN-"&amp;IFERROR(VLOOKUP(C208,Lists!$A$4:$B$21,2,0),"??")&amp;"-"&amp;TEXT(D208,"0000")&amp;"x"&amp;TEXT(E208,"0000")&amp;"-"&amp;IFERROR(VLOOKUP(H208,Lists!$D$4:$E$18,2,0),"??")&amp;"-"&amp;R208)</f>
        <v/>
      </c>
      <c r="B208" s="10" t="str">
        <f aca="false">IF(C208="","",C208&amp;" "&amp;D208&amp;"W x "&amp;E208&amp;"D, "&amp;H208&amp;", "&amp;I208)</f>
        <v/>
      </c>
      <c r="C208" s="9"/>
      <c r="D208" s="36"/>
      <c r="E208" s="36"/>
      <c r="F208" s="36"/>
      <c r="G208" s="36"/>
      <c r="H208" s="9"/>
      <c r="I208" s="9"/>
      <c r="J208" s="9"/>
      <c r="K208" s="9"/>
      <c r="L208" s="36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37"/>
      <c r="Y208" s="38"/>
      <c r="Z208" s="39"/>
      <c r="AA208" s="39"/>
      <c r="AB208" s="9"/>
      <c r="AC208" s="9"/>
      <c r="AD208" s="9"/>
      <c r="AE208" s="9"/>
      <c r="AF208" s="9"/>
      <c r="AG208" s="40"/>
      <c r="AH208" s="10" t="str">
        <f aca="false">IF(C208="","",C208&amp;"|"&amp;D208&amp;"|"&amp;E208&amp;"|"&amp;H208&amp;"|"&amp;S208)</f>
        <v/>
      </c>
    </row>
    <row r="209" customFormat="false" ht="15" hidden="false" customHeight="false" outlineLevel="0" collapsed="false">
      <c r="A209" s="10" t="str">
        <f aca="false">IF(C209="","","DRN-"&amp;IFERROR(VLOOKUP(C209,Lists!$A$4:$B$21,2,0),"??")&amp;"-"&amp;TEXT(D209,"0000")&amp;"x"&amp;TEXT(E209,"0000")&amp;"-"&amp;IFERROR(VLOOKUP(H209,Lists!$D$4:$E$18,2,0),"??")&amp;"-"&amp;R209)</f>
        <v/>
      </c>
      <c r="B209" s="10" t="str">
        <f aca="false">IF(C209="","",C209&amp;" "&amp;D209&amp;"W x "&amp;E209&amp;"D, "&amp;H209&amp;", "&amp;I209)</f>
        <v/>
      </c>
      <c r="C209" s="9"/>
      <c r="D209" s="36"/>
      <c r="E209" s="36"/>
      <c r="F209" s="36"/>
      <c r="G209" s="36"/>
      <c r="H209" s="9"/>
      <c r="I209" s="9"/>
      <c r="J209" s="9"/>
      <c r="K209" s="9"/>
      <c r="L209" s="36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37"/>
      <c r="Y209" s="38"/>
      <c r="Z209" s="39"/>
      <c r="AA209" s="39"/>
      <c r="AB209" s="9"/>
      <c r="AC209" s="9"/>
      <c r="AD209" s="9"/>
      <c r="AE209" s="9"/>
      <c r="AF209" s="9"/>
      <c r="AG209" s="40"/>
      <c r="AH209" s="10" t="str">
        <f aca="false">IF(C209="","",C209&amp;"|"&amp;D209&amp;"|"&amp;E209&amp;"|"&amp;H209&amp;"|"&amp;S209)</f>
        <v/>
      </c>
    </row>
    <row r="210" customFormat="false" ht="15" hidden="false" customHeight="false" outlineLevel="0" collapsed="false">
      <c r="A210" s="10" t="str">
        <f aca="false">IF(C210="","","DRN-"&amp;IFERROR(VLOOKUP(C210,Lists!$A$4:$B$21,2,0),"??")&amp;"-"&amp;TEXT(D210,"0000")&amp;"x"&amp;TEXT(E210,"0000")&amp;"-"&amp;IFERROR(VLOOKUP(H210,Lists!$D$4:$E$18,2,0),"??")&amp;"-"&amp;R210)</f>
        <v/>
      </c>
      <c r="B210" s="10" t="str">
        <f aca="false">IF(C210="","",C210&amp;" "&amp;D210&amp;"W x "&amp;E210&amp;"D, "&amp;H210&amp;", "&amp;I210)</f>
        <v/>
      </c>
      <c r="C210" s="9"/>
      <c r="D210" s="36"/>
      <c r="E210" s="36"/>
      <c r="F210" s="36"/>
      <c r="G210" s="36"/>
      <c r="H210" s="9"/>
      <c r="I210" s="9"/>
      <c r="J210" s="9"/>
      <c r="K210" s="9"/>
      <c r="L210" s="36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37"/>
      <c r="Y210" s="38"/>
      <c r="Z210" s="39"/>
      <c r="AA210" s="39"/>
      <c r="AB210" s="9"/>
      <c r="AC210" s="9"/>
      <c r="AD210" s="9"/>
      <c r="AE210" s="9"/>
      <c r="AF210" s="9"/>
      <c r="AG210" s="40"/>
      <c r="AH210" s="10" t="str">
        <f aca="false">IF(C210="","",C210&amp;"|"&amp;D210&amp;"|"&amp;E210&amp;"|"&amp;H210&amp;"|"&amp;S210)</f>
        <v/>
      </c>
    </row>
    <row r="211" customFormat="false" ht="15" hidden="false" customHeight="false" outlineLevel="0" collapsed="false">
      <c r="A211" s="10" t="str">
        <f aca="false">IF(C211="","","DRN-"&amp;IFERROR(VLOOKUP(C211,Lists!$A$4:$B$21,2,0),"??")&amp;"-"&amp;TEXT(D211,"0000")&amp;"x"&amp;TEXT(E211,"0000")&amp;"-"&amp;IFERROR(VLOOKUP(H211,Lists!$D$4:$E$18,2,0),"??")&amp;"-"&amp;R211)</f>
        <v/>
      </c>
      <c r="B211" s="10" t="str">
        <f aca="false">IF(C211="","",C211&amp;" "&amp;D211&amp;"W x "&amp;E211&amp;"D, "&amp;H211&amp;", "&amp;I211)</f>
        <v/>
      </c>
      <c r="C211" s="9"/>
      <c r="D211" s="36"/>
      <c r="E211" s="36"/>
      <c r="F211" s="36"/>
      <c r="G211" s="36"/>
      <c r="H211" s="9"/>
      <c r="I211" s="9"/>
      <c r="J211" s="9"/>
      <c r="K211" s="9"/>
      <c r="L211" s="36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37"/>
      <c r="Y211" s="38"/>
      <c r="Z211" s="39"/>
      <c r="AA211" s="39"/>
      <c r="AB211" s="9"/>
      <c r="AC211" s="9"/>
      <c r="AD211" s="9"/>
      <c r="AE211" s="9"/>
      <c r="AF211" s="9"/>
      <c r="AG211" s="40"/>
      <c r="AH211" s="10" t="str">
        <f aca="false">IF(C211="","",C211&amp;"|"&amp;D211&amp;"|"&amp;E211&amp;"|"&amp;H211&amp;"|"&amp;S211)</f>
        <v/>
      </c>
    </row>
    <row r="212" customFormat="false" ht="15" hidden="false" customHeight="false" outlineLevel="0" collapsed="false">
      <c r="A212" s="10" t="str">
        <f aca="false">IF(C212="","","DRN-"&amp;IFERROR(VLOOKUP(C212,Lists!$A$4:$B$21,2,0),"??")&amp;"-"&amp;TEXT(D212,"0000")&amp;"x"&amp;TEXT(E212,"0000")&amp;"-"&amp;IFERROR(VLOOKUP(H212,Lists!$D$4:$E$18,2,0),"??")&amp;"-"&amp;R212)</f>
        <v/>
      </c>
      <c r="B212" s="10" t="str">
        <f aca="false">IF(C212="","",C212&amp;" "&amp;D212&amp;"W x "&amp;E212&amp;"D, "&amp;H212&amp;", "&amp;I212)</f>
        <v/>
      </c>
      <c r="C212" s="9"/>
      <c r="D212" s="36"/>
      <c r="E212" s="36"/>
      <c r="F212" s="36"/>
      <c r="G212" s="36"/>
      <c r="H212" s="9"/>
      <c r="I212" s="9"/>
      <c r="J212" s="9"/>
      <c r="K212" s="9"/>
      <c r="L212" s="36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37"/>
      <c r="Y212" s="38"/>
      <c r="Z212" s="39"/>
      <c r="AA212" s="39"/>
      <c r="AB212" s="9"/>
      <c r="AC212" s="9"/>
      <c r="AD212" s="9"/>
      <c r="AE212" s="9"/>
      <c r="AF212" s="9"/>
      <c r="AG212" s="40"/>
      <c r="AH212" s="10" t="str">
        <f aca="false">IF(C212="","",C212&amp;"|"&amp;D212&amp;"|"&amp;E212&amp;"|"&amp;H212&amp;"|"&amp;S212)</f>
        <v/>
      </c>
    </row>
    <row r="213" customFormat="false" ht="15" hidden="false" customHeight="false" outlineLevel="0" collapsed="false">
      <c r="A213" s="10" t="str">
        <f aca="false">IF(C213="","","DRN-"&amp;IFERROR(VLOOKUP(C213,Lists!$A$4:$B$21,2,0),"??")&amp;"-"&amp;TEXT(D213,"0000")&amp;"x"&amp;TEXT(E213,"0000")&amp;"-"&amp;IFERROR(VLOOKUP(H213,Lists!$D$4:$E$18,2,0),"??")&amp;"-"&amp;R213)</f>
        <v/>
      </c>
      <c r="B213" s="10" t="str">
        <f aca="false">IF(C213="","",C213&amp;" "&amp;D213&amp;"W x "&amp;E213&amp;"D, "&amp;H213&amp;", "&amp;I213)</f>
        <v/>
      </c>
      <c r="C213" s="9"/>
      <c r="D213" s="36"/>
      <c r="E213" s="36"/>
      <c r="F213" s="36"/>
      <c r="G213" s="36"/>
      <c r="H213" s="9"/>
      <c r="I213" s="9"/>
      <c r="J213" s="9"/>
      <c r="K213" s="9"/>
      <c r="L213" s="36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37"/>
      <c r="Y213" s="38"/>
      <c r="Z213" s="39"/>
      <c r="AA213" s="39"/>
      <c r="AB213" s="9"/>
      <c r="AC213" s="9"/>
      <c r="AD213" s="9"/>
      <c r="AE213" s="9"/>
      <c r="AF213" s="9"/>
      <c r="AG213" s="40"/>
      <c r="AH213" s="10" t="str">
        <f aca="false">IF(C213="","",C213&amp;"|"&amp;D213&amp;"|"&amp;E213&amp;"|"&amp;H213&amp;"|"&amp;S213)</f>
        <v/>
      </c>
    </row>
    <row r="214" customFormat="false" ht="15" hidden="false" customHeight="false" outlineLevel="0" collapsed="false">
      <c r="A214" s="10" t="str">
        <f aca="false">IF(C214="","","DRN-"&amp;IFERROR(VLOOKUP(C214,Lists!$A$4:$B$21,2,0),"??")&amp;"-"&amp;TEXT(D214,"0000")&amp;"x"&amp;TEXT(E214,"0000")&amp;"-"&amp;IFERROR(VLOOKUP(H214,Lists!$D$4:$E$18,2,0),"??")&amp;"-"&amp;R214)</f>
        <v/>
      </c>
      <c r="B214" s="10" t="str">
        <f aca="false">IF(C214="","",C214&amp;" "&amp;D214&amp;"W x "&amp;E214&amp;"D, "&amp;H214&amp;", "&amp;I214)</f>
        <v/>
      </c>
      <c r="C214" s="9"/>
      <c r="D214" s="36"/>
      <c r="E214" s="36"/>
      <c r="F214" s="36"/>
      <c r="G214" s="36"/>
      <c r="H214" s="9"/>
      <c r="I214" s="9"/>
      <c r="J214" s="9"/>
      <c r="K214" s="9"/>
      <c r="L214" s="36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37"/>
      <c r="Y214" s="38"/>
      <c r="Z214" s="39"/>
      <c r="AA214" s="39"/>
      <c r="AB214" s="9"/>
      <c r="AC214" s="9"/>
      <c r="AD214" s="9"/>
      <c r="AE214" s="9"/>
      <c r="AF214" s="9"/>
      <c r="AG214" s="40"/>
      <c r="AH214" s="10" t="str">
        <f aca="false">IF(C214="","",C214&amp;"|"&amp;D214&amp;"|"&amp;E214&amp;"|"&amp;H214&amp;"|"&amp;S214)</f>
        <v/>
      </c>
    </row>
    <row r="215" customFormat="false" ht="15" hidden="false" customHeight="false" outlineLevel="0" collapsed="false">
      <c r="A215" s="10" t="str">
        <f aca="false">IF(C215="","","DRN-"&amp;IFERROR(VLOOKUP(C215,Lists!$A$4:$B$21,2,0),"??")&amp;"-"&amp;TEXT(D215,"0000")&amp;"x"&amp;TEXT(E215,"0000")&amp;"-"&amp;IFERROR(VLOOKUP(H215,Lists!$D$4:$E$18,2,0),"??")&amp;"-"&amp;R215)</f>
        <v/>
      </c>
      <c r="B215" s="10" t="str">
        <f aca="false">IF(C215="","",C215&amp;" "&amp;D215&amp;"W x "&amp;E215&amp;"D, "&amp;H215&amp;", "&amp;I215)</f>
        <v/>
      </c>
      <c r="C215" s="9"/>
      <c r="D215" s="36"/>
      <c r="E215" s="36"/>
      <c r="F215" s="36"/>
      <c r="G215" s="36"/>
      <c r="H215" s="9"/>
      <c r="I215" s="9"/>
      <c r="J215" s="9"/>
      <c r="K215" s="9"/>
      <c r="L215" s="36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37"/>
      <c r="Y215" s="38"/>
      <c r="Z215" s="39"/>
      <c r="AA215" s="39"/>
      <c r="AB215" s="9"/>
      <c r="AC215" s="9"/>
      <c r="AD215" s="9"/>
      <c r="AE215" s="9"/>
      <c r="AF215" s="9"/>
      <c r="AG215" s="40"/>
      <c r="AH215" s="10" t="str">
        <f aca="false">IF(C215="","",C215&amp;"|"&amp;D215&amp;"|"&amp;E215&amp;"|"&amp;H215&amp;"|"&amp;S215)</f>
        <v/>
      </c>
    </row>
    <row r="216" customFormat="false" ht="15" hidden="false" customHeight="false" outlineLevel="0" collapsed="false">
      <c r="A216" s="10" t="str">
        <f aca="false">IF(C216="","","DRN-"&amp;IFERROR(VLOOKUP(C216,Lists!$A$4:$B$21,2,0),"??")&amp;"-"&amp;TEXT(D216,"0000")&amp;"x"&amp;TEXT(E216,"0000")&amp;"-"&amp;IFERROR(VLOOKUP(H216,Lists!$D$4:$E$18,2,0),"??")&amp;"-"&amp;R216)</f>
        <v/>
      </c>
      <c r="B216" s="10" t="str">
        <f aca="false">IF(C216="","",C216&amp;" "&amp;D216&amp;"W x "&amp;E216&amp;"D, "&amp;H216&amp;", "&amp;I216)</f>
        <v/>
      </c>
      <c r="C216" s="9"/>
      <c r="D216" s="36"/>
      <c r="E216" s="36"/>
      <c r="F216" s="36"/>
      <c r="G216" s="36"/>
      <c r="H216" s="9"/>
      <c r="I216" s="9"/>
      <c r="J216" s="9"/>
      <c r="K216" s="9"/>
      <c r="L216" s="36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37"/>
      <c r="Y216" s="38"/>
      <c r="Z216" s="39"/>
      <c r="AA216" s="39"/>
      <c r="AB216" s="9"/>
      <c r="AC216" s="9"/>
      <c r="AD216" s="9"/>
      <c r="AE216" s="9"/>
      <c r="AF216" s="9"/>
      <c r="AG216" s="40"/>
      <c r="AH216" s="10" t="str">
        <f aca="false">IF(C216="","",C216&amp;"|"&amp;D216&amp;"|"&amp;E216&amp;"|"&amp;H216&amp;"|"&amp;S216)</f>
        <v/>
      </c>
    </row>
    <row r="217" customFormat="false" ht="15" hidden="false" customHeight="false" outlineLevel="0" collapsed="false">
      <c r="A217" s="10" t="str">
        <f aca="false">IF(C217="","","DRN-"&amp;IFERROR(VLOOKUP(C217,Lists!$A$4:$B$21,2,0),"??")&amp;"-"&amp;TEXT(D217,"0000")&amp;"x"&amp;TEXT(E217,"0000")&amp;"-"&amp;IFERROR(VLOOKUP(H217,Lists!$D$4:$E$18,2,0),"??")&amp;"-"&amp;R217)</f>
        <v/>
      </c>
      <c r="B217" s="10" t="str">
        <f aca="false">IF(C217="","",C217&amp;" "&amp;D217&amp;"W x "&amp;E217&amp;"D, "&amp;H217&amp;", "&amp;I217)</f>
        <v/>
      </c>
      <c r="C217" s="9"/>
      <c r="D217" s="36"/>
      <c r="E217" s="36"/>
      <c r="F217" s="36"/>
      <c r="G217" s="36"/>
      <c r="H217" s="9"/>
      <c r="I217" s="9"/>
      <c r="J217" s="9"/>
      <c r="K217" s="9"/>
      <c r="L217" s="36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37"/>
      <c r="Y217" s="38"/>
      <c r="Z217" s="39"/>
      <c r="AA217" s="39"/>
      <c r="AB217" s="9"/>
      <c r="AC217" s="9"/>
      <c r="AD217" s="9"/>
      <c r="AE217" s="9"/>
      <c r="AF217" s="9"/>
      <c r="AG217" s="40"/>
      <c r="AH217" s="10" t="str">
        <f aca="false">IF(C217="","",C217&amp;"|"&amp;D217&amp;"|"&amp;E217&amp;"|"&amp;H217&amp;"|"&amp;S217)</f>
        <v/>
      </c>
    </row>
    <row r="218" customFormat="false" ht="15" hidden="false" customHeight="false" outlineLevel="0" collapsed="false">
      <c r="A218" s="10" t="str">
        <f aca="false">IF(C218="","","DRN-"&amp;IFERROR(VLOOKUP(C218,Lists!$A$4:$B$21,2,0),"??")&amp;"-"&amp;TEXT(D218,"0000")&amp;"x"&amp;TEXT(E218,"0000")&amp;"-"&amp;IFERROR(VLOOKUP(H218,Lists!$D$4:$E$18,2,0),"??")&amp;"-"&amp;R218)</f>
        <v/>
      </c>
      <c r="B218" s="10" t="str">
        <f aca="false">IF(C218="","",C218&amp;" "&amp;D218&amp;"W x "&amp;E218&amp;"D, "&amp;H218&amp;", "&amp;I218)</f>
        <v/>
      </c>
      <c r="C218" s="9"/>
      <c r="D218" s="36"/>
      <c r="E218" s="36"/>
      <c r="F218" s="36"/>
      <c r="G218" s="36"/>
      <c r="H218" s="9"/>
      <c r="I218" s="9"/>
      <c r="J218" s="9"/>
      <c r="K218" s="9"/>
      <c r="L218" s="3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37"/>
      <c r="Y218" s="38"/>
      <c r="Z218" s="39"/>
      <c r="AA218" s="39"/>
      <c r="AB218" s="9"/>
      <c r="AC218" s="9"/>
      <c r="AD218" s="9"/>
      <c r="AE218" s="9"/>
      <c r="AF218" s="9"/>
      <c r="AG218" s="40"/>
      <c r="AH218" s="10" t="str">
        <f aca="false">IF(C218="","",C218&amp;"|"&amp;D218&amp;"|"&amp;E218&amp;"|"&amp;H218&amp;"|"&amp;S218)</f>
        <v/>
      </c>
    </row>
    <row r="219" customFormat="false" ht="15" hidden="false" customHeight="false" outlineLevel="0" collapsed="false">
      <c r="A219" s="10" t="str">
        <f aca="false">IF(C219="","","DRN-"&amp;IFERROR(VLOOKUP(C219,Lists!$A$4:$B$21,2,0),"??")&amp;"-"&amp;TEXT(D219,"0000")&amp;"x"&amp;TEXT(E219,"0000")&amp;"-"&amp;IFERROR(VLOOKUP(H219,Lists!$D$4:$E$18,2,0),"??")&amp;"-"&amp;R219)</f>
        <v/>
      </c>
      <c r="B219" s="10" t="str">
        <f aca="false">IF(C219="","",C219&amp;" "&amp;D219&amp;"W x "&amp;E219&amp;"D, "&amp;H219&amp;", "&amp;I219)</f>
        <v/>
      </c>
      <c r="C219" s="9"/>
      <c r="D219" s="36"/>
      <c r="E219" s="36"/>
      <c r="F219" s="36"/>
      <c r="G219" s="36"/>
      <c r="H219" s="9"/>
      <c r="I219" s="9"/>
      <c r="J219" s="9"/>
      <c r="K219" s="9"/>
      <c r="L219" s="3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37"/>
      <c r="Y219" s="38"/>
      <c r="Z219" s="39"/>
      <c r="AA219" s="39"/>
      <c r="AB219" s="9"/>
      <c r="AC219" s="9"/>
      <c r="AD219" s="9"/>
      <c r="AE219" s="9"/>
      <c r="AF219" s="9"/>
      <c r="AG219" s="40"/>
      <c r="AH219" s="10" t="str">
        <f aca="false">IF(C219="","",C219&amp;"|"&amp;D219&amp;"|"&amp;E219&amp;"|"&amp;H219&amp;"|"&amp;S219)</f>
        <v/>
      </c>
    </row>
    <row r="220" customFormat="false" ht="15" hidden="false" customHeight="false" outlineLevel="0" collapsed="false">
      <c r="A220" s="10" t="str">
        <f aca="false">IF(C220="","","DRN-"&amp;IFERROR(VLOOKUP(C220,Lists!$A$4:$B$21,2,0),"??")&amp;"-"&amp;TEXT(D220,"0000")&amp;"x"&amp;TEXT(E220,"0000")&amp;"-"&amp;IFERROR(VLOOKUP(H220,Lists!$D$4:$E$18,2,0),"??")&amp;"-"&amp;R220)</f>
        <v/>
      </c>
      <c r="B220" s="10" t="str">
        <f aca="false">IF(C220="","",C220&amp;" "&amp;D220&amp;"W x "&amp;E220&amp;"D, "&amp;H220&amp;", "&amp;I220)</f>
        <v/>
      </c>
      <c r="C220" s="9"/>
      <c r="D220" s="36"/>
      <c r="E220" s="36"/>
      <c r="F220" s="36"/>
      <c r="G220" s="36"/>
      <c r="H220" s="9"/>
      <c r="I220" s="9"/>
      <c r="J220" s="9"/>
      <c r="K220" s="9"/>
      <c r="L220" s="3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37"/>
      <c r="Y220" s="38"/>
      <c r="Z220" s="39"/>
      <c r="AA220" s="39"/>
      <c r="AB220" s="9"/>
      <c r="AC220" s="9"/>
      <c r="AD220" s="9"/>
      <c r="AE220" s="9"/>
      <c r="AF220" s="9"/>
      <c r="AG220" s="40"/>
      <c r="AH220" s="10" t="str">
        <f aca="false">IF(C220="","",C220&amp;"|"&amp;D220&amp;"|"&amp;E220&amp;"|"&amp;H220&amp;"|"&amp;S220)</f>
        <v/>
      </c>
    </row>
    <row r="221" customFormat="false" ht="15" hidden="false" customHeight="false" outlineLevel="0" collapsed="false">
      <c r="A221" s="10" t="str">
        <f aca="false">IF(C221="","","DRN-"&amp;IFERROR(VLOOKUP(C221,Lists!$A$4:$B$21,2,0),"??")&amp;"-"&amp;TEXT(D221,"0000")&amp;"x"&amp;TEXT(E221,"0000")&amp;"-"&amp;IFERROR(VLOOKUP(H221,Lists!$D$4:$E$18,2,0),"??")&amp;"-"&amp;R221)</f>
        <v/>
      </c>
      <c r="B221" s="10" t="str">
        <f aca="false">IF(C221="","",C221&amp;" "&amp;D221&amp;"W x "&amp;E221&amp;"D, "&amp;H221&amp;", "&amp;I221)</f>
        <v/>
      </c>
      <c r="C221" s="9"/>
      <c r="D221" s="36"/>
      <c r="E221" s="36"/>
      <c r="F221" s="36"/>
      <c r="G221" s="36"/>
      <c r="H221" s="9"/>
      <c r="I221" s="9"/>
      <c r="J221" s="9"/>
      <c r="K221" s="9"/>
      <c r="L221" s="3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37"/>
      <c r="Y221" s="38"/>
      <c r="Z221" s="39"/>
      <c r="AA221" s="39"/>
      <c r="AB221" s="9"/>
      <c r="AC221" s="9"/>
      <c r="AD221" s="9"/>
      <c r="AE221" s="9"/>
      <c r="AF221" s="9"/>
      <c r="AG221" s="40"/>
      <c r="AH221" s="10" t="str">
        <f aca="false">IF(C221="","",C221&amp;"|"&amp;D221&amp;"|"&amp;E221&amp;"|"&amp;H221&amp;"|"&amp;S221)</f>
        <v/>
      </c>
    </row>
    <row r="222" customFormat="false" ht="15" hidden="false" customHeight="false" outlineLevel="0" collapsed="false">
      <c r="A222" s="10" t="str">
        <f aca="false">IF(C222="","","DRN-"&amp;IFERROR(VLOOKUP(C222,Lists!$A$4:$B$21,2,0),"??")&amp;"-"&amp;TEXT(D222,"0000")&amp;"x"&amp;TEXT(E222,"0000")&amp;"-"&amp;IFERROR(VLOOKUP(H222,Lists!$D$4:$E$18,2,0),"??")&amp;"-"&amp;R222)</f>
        <v/>
      </c>
      <c r="B222" s="10" t="str">
        <f aca="false">IF(C222="","",C222&amp;" "&amp;D222&amp;"W x "&amp;E222&amp;"D, "&amp;H222&amp;", "&amp;I222)</f>
        <v/>
      </c>
      <c r="C222" s="9"/>
      <c r="D222" s="36"/>
      <c r="E222" s="36"/>
      <c r="F222" s="36"/>
      <c r="G222" s="36"/>
      <c r="H222" s="9"/>
      <c r="I222" s="9"/>
      <c r="J222" s="9"/>
      <c r="K222" s="9"/>
      <c r="L222" s="3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37"/>
      <c r="Y222" s="38"/>
      <c r="Z222" s="39"/>
      <c r="AA222" s="39"/>
      <c r="AB222" s="9"/>
      <c r="AC222" s="9"/>
      <c r="AD222" s="9"/>
      <c r="AE222" s="9"/>
      <c r="AF222" s="9"/>
      <c r="AG222" s="40"/>
      <c r="AH222" s="10" t="str">
        <f aca="false">IF(C222="","",C222&amp;"|"&amp;D222&amp;"|"&amp;E222&amp;"|"&amp;H222&amp;"|"&amp;S222)</f>
        <v/>
      </c>
    </row>
    <row r="223" customFormat="false" ht="15" hidden="false" customHeight="false" outlineLevel="0" collapsed="false">
      <c r="A223" s="10" t="str">
        <f aca="false">IF(C223="","","DRN-"&amp;IFERROR(VLOOKUP(C223,Lists!$A$4:$B$21,2,0),"??")&amp;"-"&amp;TEXT(D223,"0000")&amp;"x"&amp;TEXT(E223,"0000")&amp;"-"&amp;IFERROR(VLOOKUP(H223,Lists!$D$4:$E$18,2,0),"??")&amp;"-"&amp;R223)</f>
        <v/>
      </c>
      <c r="B223" s="10" t="str">
        <f aca="false">IF(C223="","",C223&amp;" "&amp;D223&amp;"W x "&amp;E223&amp;"D, "&amp;H223&amp;", "&amp;I223)</f>
        <v/>
      </c>
      <c r="C223" s="9"/>
      <c r="D223" s="36"/>
      <c r="E223" s="36"/>
      <c r="F223" s="36"/>
      <c r="G223" s="36"/>
      <c r="H223" s="9"/>
      <c r="I223" s="9"/>
      <c r="J223" s="9"/>
      <c r="K223" s="9"/>
      <c r="L223" s="3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37"/>
      <c r="Y223" s="38"/>
      <c r="Z223" s="39"/>
      <c r="AA223" s="39"/>
      <c r="AB223" s="9"/>
      <c r="AC223" s="9"/>
      <c r="AD223" s="9"/>
      <c r="AE223" s="9"/>
      <c r="AF223" s="9"/>
      <c r="AG223" s="40"/>
      <c r="AH223" s="10" t="str">
        <f aca="false">IF(C223="","",C223&amp;"|"&amp;D223&amp;"|"&amp;E223&amp;"|"&amp;H223&amp;"|"&amp;S223)</f>
        <v/>
      </c>
    </row>
    <row r="224" customFormat="false" ht="15" hidden="false" customHeight="false" outlineLevel="0" collapsed="false">
      <c r="A224" s="10" t="str">
        <f aca="false">IF(C224="","","DRN-"&amp;IFERROR(VLOOKUP(C224,Lists!$A$4:$B$21,2,0),"??")&amp;"-"&amp;TEXT(D224,"0000")&amp;"x"&amp;TEXT(E224,"0000")&amp;"-"&amp;IFERROR(VLOOKUP(H224,Lists!$D$4:$E$18,2,0),"??")&amp;"-"&amp;R224)</f>
        <v/>
      </c>
      <c r="B224" s="10" t="str">
        <f aca="false">IF(C224="","",C224&amp;" "&amp;D224&amp;"W x "&amp;E224&amp;"D, "&amp;H224&amp;", "&amp;I224)</f>
        <v/>
      </c>
      <c r="C224" s="9"/>
      <c r="D224" s="36"/>
      <c r="E224" s="36"/>
      <c r="F224" s="36"/>
      <c r="G224" s="36"/>
      <c r="H224" s="9"/>
      <c r="I224" s="9"/>
      <c r="J224" s="9"/>
      <c r="K224" s="9"/>
      <c r="L224" s="3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37"/>
      <c r="Y224" s="38"/>
      <c r="Z224" s="39"/>
      <c r="AA224" s="39"/>
      <c r="AB224" s="9"/>
      <c r="AC224" s="9"/>
      <c r="AD224" s="9"/>
      <c r="AE224" s="9"/>
      <c r="AF224" s="9"/>
      <c r="AG224" s="40"/>
      <c r="AH224" s="10" t="str">
        <f aca="false">IF(C224="","",C224&amp;"|"&amp;D224&amp;"|"&amp;E224&amp;"|"&amp;H224&amp;"|"&amp;S224)</f>
        <v/>
      </c>
    </row>
    <row r="225" customFormat="false" ht="15" hidden="false" customHeight="false" outlineLevel="0" collapsed="false">
      <c r="A225" s="10" t="str">
        <f aca="false">IF(C225="","","DRN-"&amp;IFERROR(VLOOKUP(C225,Lists!$A$4:$B$21,2,0),"??")&amp;"-"&amp;TEXT(D225,"0000")&amp;"x"&amp;TEXT(E225,"0000")&amp;"-"&amp;IFERROR(VLOOKUP(H225,Lists!$D$4:$E$18,2,0),"??")&amp;"-"&amp;R225)</f>
        <v/>
      </c>
      <c r="B225" s="10" t="str">
        <f aca="false">IF(C225="","",C225&amp;" "&amp;D225&amp;"W x "&amp;E225&amp;"D, "&amp;H225&amp;", "&amp;I225)</f>
        <v/>
      </c>
      <c r="C225" s="9"/>
      <c r="D225" s="36"/>
      <c r="E225" s="36"/>
      <c r="F225" s="36"/>
      <c r="G225" s="36"/>
      <c r="H225" s="9"/>
      <c r="I225" s="9"/>
      <c r="J225" s="9"/>
      <c r="K225" s="9"/>
      <c r="L225" s="3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37"/>
      <c r="Y225" s="38"/>
      <c r="Z225" s="39"/>
      <c r="AA225" s="39"/>
      <c r="AB225" s="9"/>
      <c r="AC225" s="9"/>
      <c r="AD225" s="9"/>
      <c r="AE225" s="9"/>
      <c r="AF225" s="9"/>
      <c r="AG225" s="40"/>
      <c r="AH225" s="10" t="str">
        <f aca="false">IF(C225="","",C225&amp;"|"&amp;D225&amp;"|"&amp;E225&amp;"|"&amp;H225&amp;"|"&amp;S225)</f>
        <v/>
      </c>
    </row>
    <row r="226" customFormat="false" ht="15" hidden="false" customHeight="false" outlineLevel="0" collapsed="false">
      <c r="A226" s="10" t="str">
        <f aca="false">IF(C226="","","DRN-"&amp;IFERROR(VLOOKUP(C226,Lists!$A$4:$B$21,2,0),"??")&amp;"-"&amp;TEXT(D226,"0000")&amp;"x"&amp;TEXT(E226,"0000")&amp;"-"&amp;IFERROR(VLOOKUP(H226,Lists!$D$4:$E$18,2,0),"??")&amp;"-"&amp;R226)</f>
        <v/>
      </c>
      <c r="B226" s="10" t="str">
        <f aca="false">IF(C226="","",C226&amp;" "&amp;D226&amp;"W x "&amp;E226&amp;"D, "&amp;H226&amp;", "&amp;I226)</f>
        <v/>
      </c>
      <c r="C226" s="9"/>
      <c r="D226" s="36"/>
      <c r="E226" s="36"/>
      <c r="F226" s="36"/>
      <c r="G226" s="36"/>
      <c r="H226" s="9"/>
      <c r="I226" s="9"/>
      <c r="J226" s="9"/>
      <c r="K226" s="9"/>
      <c r="L226" s="3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37"/>
      <c r="Y226" s="38"/>
      <c r="Z226" s="39"/>
      <c r="AA226" s="39"/>
      <c r="AB226" s="9"/>
      <c r="AC226" s="9"/>
      <c r="AD226" s="9"/>
      <c r="AE226" s="9"/>
      <c r="AF226" s="9"/>
      <c r="AG226" s="40"/>
      <c r="AH226" s="10" t="str">
        <f aca="false">IF(C226="","",C226&amp;"|"&amp;D226&amp;"|"&amp;E226&amp;"|"&amp;H226&amp;"|"&amp;S226)</f>
        <v/>
      </c>
    </row>
    <row r="227" customFormat="false" ht="15" hidden="false" customHeight="false" outlineLevel="0" collapsed="false">
      <c r="A227" s="10" t="str">
        <f aca="false">IF(C227="","","DRN-"&amp;IFERROR(VLOOKUP(C227,Lists!$A$4:$B$21,2,0),"??")&amp;"-"&amp;TEXT(D227,"0000")&amp;"x"&amp;TEXT(E227,"0000")&amp;"-"&amp;IFERROR(VLOOKUP(H227,Lists!$D$4:$E$18,2,0),"??")&amp;"-"&amp;R227)</f>
        <v/>
      </c>
      <c r="B227" s="10" t="str">
        <f aca="false">IF(C227="","",C227&amp;" "&amp;D227&amp;"W x "&amp;E227&amp;"D, "&amp;H227&amp;", "&amp;I227)</f>
        <v/>
      </c>
      <c r="C227" s="9"/>
      <c r="D227" s="36"/>
      <c r="E227" s="36"/>
      <c r="F227" s="36"/>
      <c r="G227" s="36"/>
      <c r="H227" s="9"/>
      <c r="I227" s="9"/>
      <c r="J227" s="9"/>
      <c r="K227" s="9"/>
      <c r="L227" s="3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37"/>
      <c r="Y227" s="38"/>
      <c r="Z227" s="39"/>
      <c r="AA227" s="39"/>
      <c r="AB227" s="9"/>
      <c r="AC227" s="9"/>
      <c r="AD227" s="9"/>
      <c r="AE227" s="9"/>
      <c r="AF227" s="9"/>
      <c r="AG227" s="40"/>
      <c r="AH227" s="10" t="str">
        <f aca="false">IF(C227="","",C227&amp;"|"&amp;D227&amp;"|"&amp;E227&amp;"|"&amp;H227&amp;"|"&amp;S227)</f>
        <v/>
      </c>
    </row>
    <row r="228" customFormat="false" ht="15" hidden="false" customHeight="false" outlineLevel="0" collapsed="false">
      <c r="A228" s="10" t="str">
        <f aca="false">IF(C228="","","DRN-"&amp;IFERROR(VLOOKUP(C228,Lists!$A$4:$B$21,2,0),"??")&amp;"-"&amp;TEXT(D228,"0000")&amp;"x"&amp;TEXT(E228,"0000")&amp;"-"&amp;IFERROR(VLOOKUP(H228,Lists!$D$4:$E$18,2,0),"??")&amp;"-"&amp;R228)</f>
        <v/>
      </c>
      <c r="B228" s="10" t="str">
        <f aca="false">IF(C228="","",C228&amp;" "&amp;D228&amp;"W x "&amp;E228&amp;"D, "&amp;H228&amp;", "&amp;I228)</f>
        <v/>
      </c>
      <c r="C228" s="9"/>
      <c r="D228" s="36"/>
      <c r="E228" s="36"/>
      <c r="F228" s="36"/>
      <c r="G228" s="36"/>
      <c r="H228" s="9"/>
      <c r="I228" s="9"/>
      <c r="J228" s="9"/>
      <c r="K228" s="9"/>
      <c r="L228" s="3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37"/>
      <c r="Y228" s="38"/>
      <c r="Z228" s="39"/>
      <c r="AA228" s="39"/>
      <c r="AB228" s="9"/>
      <c r="AC228" s="9"/>
      <c r="AD228" s="9"/>
      <c r="AE228" s="9"/>
      <c r="AF228" s="9"/>
      <c r="AG228" s="40"/>
      <c r="AH228" s="10" t="str">
        <f aca="false">IF(C228="","",C228&amp;"|"&amp;D228&amp;"|"&amp;E228&amp;"|"&amp;H228&amp;"|"&amp;S228)</f>
        <v/>
      </c>
    </row>
    <row r="229" customFormat="false" ht="15" hidden="false" customHeight="false" outlineLevel="0" collapsed="false">
      <c r="A229" s="10" t="str">
        <f aca="false">IF(C229="","","DRN-"&amp;IFERROR(VLOOKUP(C229,Lists!$A$4:$B$21,2,0),"??")&amp;"-"&amp;TEXT(D229,"0000")&amp;"x"&amp;TEXT(E229,"0000")&amp;"-"&amp;IFERROR(VLOOKUP(H229,Lists!$D$4:$E$18,2,0),"??")&amp;"-"&amp;R229)</f>
        <v/>
      </c>
      <c r="B229" s="10" t="str">
        <f aca="false">IF(C229="","",C229&amp;" "&amp;D229&amp;"W x "&amp;E229&amp;"D, "&amp;H229&amp;", "&amp;I229)</f>
        <v/>
      </c>
      <c r="C229" s="9"/>
      <c r="D229" s="36"/>
      <c r="E229" s="36"/>
      <c r="F229" s="36"/>
      <c r="G229" s="36"/>
      <c r="H229" s="9"/>
      <c r="I229" s="9"/>
      <c r="J229" s="9"/>
      <c r="K229" s="9"/>
      <c r="L229" s="3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37"/>
      <c r="Y229" s="38"/>
      <c r="Z229" s="39"/>
      <c r="AA229" s="39"/>
      <c r="AB229" s="9"/>
      <c r="AC229" s="9"/>
      <c r="AD229" s="9"/>
      <c r="AE229" s="9"/>
      <c r="AF229" s="9"/>
      <c r="AG229" s="40"/>
      <c r="AH229" s="10" t="str">
        <f aca="false">IF(C229="","",C229&amp;"|"&amp;D229&amp;"|"&amp;E229&amp;"|"&amp;H229&amp;"|"&amp;S229)</f>
        <v/>
      </c>
    </row>
    <row r="230" customFormat="false" ht="15" hidden="false" customHeight="false" outlineLevel="0" collapsed="false">
      <c r="A230" s="10" t="str">
        <f aca="false">IF(C230="","","DRN-"&amp;IFERROR(VLOOKUP(C230,Lists!$A$4:$B$21,2,0),"??")&amp;"-"&amp;TEXT(D230,"0000")&amp;"x"&amp;TEXT(E230,"0000")&amp;"-"&amp;IFERROR(VLOOKUP(H230,Lists!$D$4:$E$18,2,0),"??")&amp;"-"&amp;R230)</f>
        <v/>
      </c>
      <c r="B230" s="10" t="str">
        <f aca="false">IF(C230="","",C230&amp;" "&amp;D230&amp;"W x "&amp;E230&amp;"D, "&amp;H230&amp;", "&amp;I230)</f>
        <v/>
      </c>
      <c r="C230" s="9"/>
      <c r="D230" s="36"/>
      <c r="E230" s="36"/>
      <c r="F230" s="36"/>
      <c r="G230" s="36"/>
      <c r="H230" s="9"/>
      <c r="I230" s="9"/>
      <c r="J230" s="9"/>
      <c r="K230" s="9"/>
      <c r="L230" s="3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37"/>
      <c r="Y230" s="38"/>
      <c r="Z230" s="39"/>
      <c r="AA230" s="39"/>
      <c r="AB230" s="9"/>
      <c r="AC230" s="9"/>
      <c r="AD230" s="9"/>
      <c r="AE230" s="9"/>
      <c r="AF230" s="9"/>
      <c r="AG230" s="40"/>
      <c r="AH230" s="10" t="str">
        <f aca="false">IF(C230="","",C230&amp;"|"&amp;D230&amp;"|"&amp;E230&amp;"|"&amp;H230&amp;"|"&amp;S230)</f>
        <v/>
      </c>
    </row>
    <row r="231" customFormat="false" ht="15" hidden="false" customHeight="false" outlineLevel="0" collapsed="false">
      <c r="A231" s="10" t="str">
        <f aca="false">IF(C231="","","DRN-"&amp;IFERROR(VLOOKUP(C231,Lists!$A$4:$B$21,2,0),"??")&amp;"-"&amp;TEXT(D231,"0000")&amp;"x"&amp;TEXT(E231,"0000")&amp;"-"&amp;IFERROR(VLOOKUP(H231,Lists!$D$4:$E$18,2,0),"??")&amp;"-"&amp;R231)</f>
        <v/>
      </c>
      <c r="B231" s="10" t="str">
        <f aca="false">IF(C231="","",C231&amp;" "&amp;D231&amp;"W x "&amp;E231&amp;"D, "&amp;H231&amp;", "&amp;I231)</f>
        <v/>
      </c>
      <c r="C231" s="9"/>
      <c r="D231" s="36"/>
      <c r="E231" s="36"/>
      <c r="F231" s="36"/>
      <c r="G231" s="36"/>
      <c r="H231" s="9"/>
      <c r="I231" s="9"/>
      <c r="J231" s="9"/>
      <c r="K231" s="9"/>
      <c r="L231" s="3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37"/>
      <c r="Y231" s="38"/>
      <c r="Z231" s="39"/>
      <c r="AA231" s="39"/>
      <c r="AB231" s="9"/>
      <c r="AC231" s="9"/>
      <c r="AD231" s="9"/>
      <c r="AE231" s="9"/>
      <c r="AF231" s="9"/>
      <c r="AG231" s="40"/>
      <c r="AH231" s="10" t="str">
        <f aca="false">IF(C231="","",C231&amp;"|"&amp;D231&amp;"|"&amp;E231&amp;"|"&amp;H231&amp;"|"&amp;S231)</f>
        <v/>
      </c>
    </row>
    <row r="232" customFormat="false" ht="15" hidden="false" customHeight="false" outlineLevel="0" collapsed="false">
      <c r="A232" s="10" t="str">
        <f aca="false">IF(C232="","","DRN-"&amp;IFERROR(VLOOKUP(C232,Lists!$A$4:$B$21,2,0),"??")&amp;"-"&amp;TEXT(D232,"0000")&amp;"x"&amp;TEXT(E232,"0000")&amp;"-"&amp;IFERROR(VLOOKUP(H232,Lists!$D$4:$E$18,2,0),"??")&amp;"-"&amp;R232)</f>
        <v/>
      </c>
      <c r="B232" s="10" t="str">
        <f aca="false">IF(C232="","",C232&amp;" "&amp;D232&amp;"W x "&amp;E232&amp;"D, "&amp;H232&amp;", "&amp;I232)</f>
        <v/>
      </c>
      <c r="C232" s="9"/>
      <c r="D232" s="36"/>
      <c r="E232" s="36"/>
      <c r="F232" s="36"/>
      <c r="G232" s="36"/>
      <c r="H232" s="9"/>
      <c r="I232" s="9"/>
      <c r="J232" s="9"/>
      <c r="K232" s="9"/>
      <c r="L232" s="3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37"/>
      <c r="Y232" s="38"/>
      <c r="Z232" s="39"/>
      <c r="AA232" s="39"/>
      <c r="AB232" s="9"/>
      <c r="AC232" s="9"/>
      <c r="AD232" s="9"/>
      <c r="AE232" s="9"/>
      <c r="AF232" s="9"/>
      <c r="AG232" s="40"/>
      <c r="AH232" s="10" t="str">
        <f aca="false">IF(C232="","",C232&amp;"|"&amp;D232&amp;"|"&amp;E232&amp;"|"&amp;H232&amp;"|"&amp;S232)</f>
        <v/>
      </c>
    </row>
    <row r="233" customFormat="false" ht="15" hidden="false" customHeight="false" outlineLevel="0" collapsed="false">
      <c r="A233" s="10" t="str">
        <f aca="false">IF(C233="","","DRN-"&amp;IFERROR(VLOOKUP(C233,Lists!$A$4:$B$21,2,0),"??")&amp;"-"&amp;TEXT(D233,"0000")&amp;"x"&amp;TEXT(E233,"0000")&amp;"-"&amp;IFERROR(VLOOKUP(H233,Lists!$D$4:$E$18,2,0),"??")&amp;"-"&amp;R233)</f>
        <v/>
      </c>
      <c r="B233" s="10" t="str">
        <f aca="false">IF(C233="","",C233&amp;" "&amp;D233&amp;"W x "&amp;E233&amp;"D, "&amp;H233&amp;", "&amp;I233)</f>
        <v/>
      </c>
      <c r="C233" s="9"/>
      <c r="D233" s="36"/>
      <c r="E233" s="36"/>
      <c r="F233" s="36"/>
      <c r="G233" s="36"/>
      <c r="H233" s="9"/>
      <c r="I233" s="9"/>
      <c r="J233" s="9"/>
      <c r="K233" s="9"/>
      <c r="L233" s="3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37"/>
      <c r="Y233" s="38"/>
      <c r="Z233" s="39"/>
      <c r="AA233" s="39"/>
      <c r="AB233" s="9"/>
      <c r="AC233" s="9"/>
      <c r="AD233" s="9"/>
      <c r="AE233" s="9"/>
      <c r="AF233" s="9"/>
      <c r="AG233" s="40"/>
      <c r="AH233" s="10" t="str">
        <f aca="false">IF(C233="","",C233&amp;"|"&amp;D233&amp;"|"&amp;E233&amp;"|"&amp;H233&amp;"|"&amp;S233)</f>
        <v/>
      </c>
    </row>
    <row r="234" customFormat="false" ht="15" hidden="false" customHeight="false" outlineLevel="0" collapsed="false">
      <c r="A234" s="10" t="str">
        <f aca="false">IF(C234="","","DRN-"&amp;IFERROR(VLOOKUP(C234,Lists!$A$4:$B$21,2,0),"??")&amp;"-"&amp;TEXT(D234,"0000")&amp;"x"&amp;TEXT(E234,"0000")&amp;"-"&amp;IFERROR(VLOOKUP(H234,Lists!$D$4:$E$18,2,0),"??")&amp;"-"&amp;R234)</f>
        <v/>
      </c>
      <c r="B234" s="10" t="str">
        <f aca="false">IF(C234="","",C234&amp;" "&amp;D234&amp;"W x "&amp;E234&amp;"D, "&amp;H234&amp;", "&amp;I234)</f>
        <v/>
      </c>
      <c r="C234" s="9"/>
      <c r="D234" s="36"/>
      <c r="E234" s="36"/>
      <c r="F234" s="36"/>
      <c r="G234" s="36"/>
      <c r="H234" s="9"/>
      <c r="I234" s="9"/>
      <c r="J234" s="9"/>
      <c r="K234" s="9"/>
      <c r="L234" s="3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37"/>
      <c r="Y234" s="38"/>
      <c r="Z234" s="39"/>
      <c r="AA234" s="39"/>
      <c r="AB234" s="9"/>
      <c r="AC234" s="9"/>
      <c r="AD234" s="9"/>
      <c r="AE234" s="9"/>
      <c r="AF234" s="9"/>
      <c r="AG234" s="40"/>
      <c r="AH234" s="10" t="str">
        <f aca="false">IF(C234="","",C234&amp;"|"&amp;D234&amp;"|"&amp;E234&amp;"|"&amp;H234&amp;"|"&amp;S234)</f>
        <v/>
      </c>
    </row>
    <row r="235" customFormat="false" ht="15" hidden="false" customHeight="false" outlineLevel="0" collapsed="false">
      <c r="A235" s="10" t="str">
        <f aca="false">IF(C235="","","DRN-"&amp;IFERROR(VLOOKUP(C235,Lists!$A$4:$B$21,2,0),"??")&amp;"-"&amp;TEXT(D235,"0000")&amp;"x"&amp;TEXT(E235,"0000")&amp;"-"&amp;IFERROR(VLOOKUP(H235,Lists!$D$4:$E$18,2,0),"??")&amp;"-"&amp;R235)</f>
        <v/>
      </c>
      <c r="B235" s="10" t="str">
        <f aca="false">IF(C235="","",C235&amp;" "&amp;D235&amp;"W x "&amp;E235&amp;"D, "&amp;H235&amp;", "&amp;I235)</f>
        <v/>
      </c>
      <c r="C235" s="9"/>
      <c r="D235" s="36"/>
      <c r="E235" s="36"/>
      <c r="F235" s="36"/>
      <c r="G235" s="36"/>
      <c r="H235" s="9"/>
      <c r="I235" s="9"/>
      <c r="J235" s="9"/>
      <c r="K235" s="9"/>
      <c r="L235" s="36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37"/>
      <c r="Y235" s="38"/>
      <c r="Z235" s="39"/>
      <c r="AA235" s="39"/>
      <c r="AB235" s="9"/>
      <c r="AC235" s="9"/>
      <c r="AD235" s="9"/>
      <c r="AE235" s="9"/>
      <c r="AF235" s="9"/>
      <c r="AG235" s="40"/>
      <c r="AH235" s="10" t="str">
        <f aca="false">IF(C235="","",C235&amp;"|"&amp;D235&amp;"|"&amp;E235&amp;"|"&amp;H235&amp;"|"&amp;S235)</f>
        <v/>
      </c>
    </row>
    <row r="236" customFormat="false" ht="15" hidden="false" customHeight="false" outlineLevel="0" collapsed="false">
      <c r="A236" s="10" t="str">
        <f aca="false">IF(C236="","","DRN-"&amp;IFERROR(VLOOKUP(C236,Lists!$A$4:$B$21,2,0),"??")&amp;"-"&amp;TEXT(D236,"0000")&amp;"x"&amp;TEXT(E236,"0000")&amp;"-"&amp;IFERROR(VLOOKUP(H236,Lists!$D$4:$E$18,2,0),"??")&amp;"-"&amp;R236)</f>
        <v/>
      </c>
      <c r="B236" s="10" t="str">
        <f aca="false">IF(C236="","",C236&amp;" "&amp;D236&amp;"W x "&amp;E236&amp;"D, "&amp;H236&amp;", "&amp;I236)</f>
        <v/>
      </c>
      <c r="C236" s="9"/>
      <c r="D236" s="36"/>
      <c r="E236" s="36"/>
      <c r="F236" s="36"/>
      <c r="G236" s="36"/>
      <c r="H236" s="9"/>
      <c r="I236" s="9"/>
      <c r="J236" s="9"/>
      <c r="K236" s="9"/>
      <c r="L236" s="36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37"/>
      <c r="Y236" s="38"/>
      <c r="Z236" s="39"/>
      <c r="AA236" s="39"/>
      <c r="AB236" s="9"/>
      <c r="AC236" s="9"/>
      <c r="AD236" s="9"/>
      <c r="AE236" s="9"/>
      <c r="AF236" s="9"/>
      <c r="AG236" s="40"/>
      <c r="AH236" s="10" t="str">
        <f aca="false">IF(C236="","",C236&amp;"|"&amp;D236&amp;"|"&amp;E236&amp;"|"&amp;H236&amp;"|"&amp;S236)</f>
        <v/>
      </c>
    </row>
    <row r="237" customFormat="false" ht="15" hidden="false" customHeight="false" outlineLevel="0" collapsed="false">
      <c r="A237" s="10" t="str">
        <f aca="false">IF(C237="","","DRN-"&amp;IFERROR(VLOOKUP(C237,Lists!$A$4:$B$21,2,0),"??")&amp;"-"&amp;TEXT(D237,"0000")&amp;"x"&amp;TEXT(E237,"0000")&amp;"-"&amp;IFERROR(VLOOKUP(H237,Lists!$D$4:$E$18,2,0),"??")&amp;"-"&amp;R237)</f>
        <v/>
      </c>
      <c r="B237" s="10" t="str">
        <f aca="false">IF(C237="","",C237&amp;" "&amp;D237&amp;"W x "&amp;E237&amp;"D, "&amp;H237&amp;", "&amp;I237)</f>
        <v/>
      </c>
      <c r="C237" s="9"/>
      <c r="D237" s="36"/>
      <c r="E237" s="36"/>
      <c r="F237" s="36"/>
      <c r="G237" s="36"/>
      <c r="H237" s="9"/>
      <c r="I237" s="9"/>
      <c r="J237" s="9"/>
      <c r="K237" s="9"/>
      <c r="L237" s="36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37"/>
      <c r="Y237" s="38"/>
      <c r="Z237" s="39"/>
      <c r="AA237" s="39"/>
      <c r="AB237" s="9"/>
      <c r="AC237" s="9"/>
      <c r="AD237" s="9"/>
      <c r="AE237" s="9"/>
      <c r="AF237" s="9"/>
      <c r="AG237" s="40"/>
      <c r="AH237" s="10" t="str">
        <f aca="false">IF(C237="","",C237&amp;"|"&amp;D237&amp;"|"&amp;E237&amp;"|"&amp;H237&amp;"|"&amp;S237)</f>
        <v/>
      </c>
    </row>
    <row r="238" customFormat="false" ht="15" hidden="false" customHeight="false" outlineLevel="0" collapsed="false">
      <c r="A238" s="10" t="str">
        <f aca="false">IF(C238="","","DRN-"&amp;IFERROR(VLOOKUP(C238,Lists!$A$4:$B$21,2,0),"??")&amp;"-"&amp;TEXT(D238,"0000")&amp;"x"&amp;TEXT(E238,"0000")&amp;"-"&amp;IFERROR(VLOOKUP(H238,Lists!$D$4:$E$18,2,0),"??")&amp;"-"&amp;R238)</f>
        <v/>
      </c>
      <c r="B238" s="10" t="str">
        <f aca="false">IF(C238="","",C238&amp;" "&amp;D238&amp;"W x "&amp;E238&amp;"D, "&amp;H238&amp;", "&amp;I238)</f>
        <v/>
      </c>
      <c r="C238" s="9"/>
      <c r="D238" s="36"/>
      <c r="E238" s="36"/>
      <c r="F238" s="36"/>
      <c r="G238" s="36"/>
      <c r="H238" s="9"/>
      <c r="I238" s="9"/>
      <c r="J238" s="9"/>
      <c r="K238" s="9"/>
      <c r="L238" s="36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37"/>
      <c r="Y238" s="38"/>
      <c r="Z238" s="39"/>
      <c r="AA238" s="39"/>
      <c r="AB238" s="9"/>
      <c r="AC238" s="9"/>
      <c r="AD238" s="9"/>
      <c r="AE238" s="9"/>
      <c r="AF238" s="9"/>
      <c r="AG238" s="40"/>
      <c r="AH238" s="10" t="str">
        <f aca="false">IF(C238="","",C238&amp;"|"&amp;D238&amp;"|"&amp;E238&amp;"|"&amp;H238&amp;"|"&amp;S238)</f>
        <v/>
      </c>
    </row>
    <row r="239" customFormat="false" ht="15" hidden="false" customHeight="false" outlineLevel="0" collapsed="false">
      <c r="A239" s="10" t="str">
        <f aca="false">IF(C239="","","DRN-"&amp;IFERROR(VLOOKUP(C239,Lists!$A$4:$B$21,2,0),"??")&amp;"-"&amp;TEXT(D239,"0000")&amp;"x"&amp;TEXT(E239,"0000")&amp;"-"&amp;IFERROR(VLOOKUP(H239,Lists!$D$4:$E$18,2,0),"??")&amp;"-"&amp;R239)</f>
        <v/>
      </c>
      <c r="B239" s="10" t="str">
        <f aca="false">IF(C239="","",C239&amp;" "&amp;D239&amp;"W x "&amp;E239&amp;"D, "&amp;H239&amp;", "&amp;I239)</f>
        <v/>
      </c>
      <c r="C239" s="9"/>
      <c r="D239" s="36"/>
      <c r="E239" s="36"/>
      <c r="F239" s="36"/>
      <c r="G239" s="36"/>
      <c r="H239" s="9"/>
      <c r="I239" s="9"/>
      <c r="J239" s="9"/>
      <c r="K239" s="9"/>
      <c r="L239" s="36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37"/>
      <c r="Y239" s="38"/>
      <c r="Z239" s="39"/>
      <c r="AA239" s="39"/>
      <c r="AB239" s="9"/>
      <c r="AC239" s="9"/>
      <c r="AD239" s="9"/>
      <c r="AE239" s="9"/>
      <c r="AF239" s="9"/>
      <c r="AG239" s="40"/>
      <c r="AH239" s="10" t="str">
        <f aca="false">IF(C239="","",C239&amp;"|"&amp;D239&amp;"|"&amp;E239&amp;"|"&amp;H239&amp;"|"&amp;S239)</f>
        <v/>
      </c>
    </row>
    <row r="240" customFormat="false" ht="15" hidden="false" customHeight="false" outlineLevel="0" collapsed="false">
      <c r="A240" s="10" t="str">
        <f aca="false">IF(C240="","","DRN-"&amp;IFERROR(VLOOKUP(C240,Lists!$A$4:$B$21,2,0),"??")&amp;"-"&amp;TEXT(D240,"0000")&amp;"x"&amp;TEXT(E240,"0000")&amp;"-"&amp;IFERROR(VLOOKUP(H240,Lists!$D$4:$E$18,2,0),"??")&amp;"-"&amp;R240)</f>
        <v/>
      </c>
      <c r="B240" s="10" t="str">
        <f aca="false">IF(C240="","",C240&amp;" "&amp;D240&amp;"W x "&amp;E240&amp;"D, "&amp;H240&amp;", "&amp;I240)</f>
        <v/>
      </c>
      <c r="C240" s="9"/>
      <c r="D240" s="36"/>
      <c r="E240" s="36"/>
      <c r="F240" s="36"/>
      <c r="G240" s="36"/>
      <c r="H240" s="9"/>
      <c r="I240" s="9"/>
      <c r="J240" s="9"/>
      <c r="K240" s="9"/>
      <c r="L240" s="36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37"/>
      <c r="Y240" s="38"/>
      <c r="Z240" s="39"/>
      <c r="AA240" s="39"/>
      <c r="AB240" s="9"/>
      <c r="AC240" s="9"/>
      <c r="AD240" s="9"/>
      <c r="AE240" s="9"/>
      <c r="AF240" s="9"/>
      <c r="AG240" s="40"/>
      <c r="AH240" s="10" t="str">
        <f aca="false">IF(C240="","",C240&amp;"|"&amp;D240&amp;"|"&amp;E240&amp;"|"&amp;H240&amp;"|"&amp;S240)</f>
        <v/>
      </c>
    </row>
    <row r="241" customFormat="false" ht="15" hidden="false" customHeight="false" outlineLevel="0" collapsed="false">
      <c r="A241" s="10" t="str">
        <f aca="false">IF(C241="","","DRN-"&amp;IFERROR(VLOOKUP(C241,Lists!$A$4:$B$21,2,0),"??")&amp;"-"&amp;TEXT(D241,"0000")&amp;"x"&amp;TEXT(E241,"0000")&amp;"-"&amp;IFERROR(VLOOKUP(H241,Lists!$D$4:$E$18,2,0),"??")&amp;"-"&amp;R241)</f>
        <v/>
      </c>
      <c r="B241" s="10" t="str">
        <f aca="false">IF(C241="","",C241&amp;" "&amp;D241&amp;"W x "&amp;E241&amp;"D, "&amp;H241&amp;", "&amp;I241)</f>
        <v/>
      </c>
      <c r="C241" s="9"/>
      <c r="D241" s="36"/>
      <c r="E241" s="36"/>
      <c r="F241" s="36"/>
      <c r="G241" s="36"/>
      <c r="H241" s="9"/>
      <c r="I241" s="9"/>
      <c r="J241" s="9"/>
      <c r="K241" s="9"/>
      <c r="L241" s="36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37"/>
      <c r="Y241" s="38"/>
      <c r="Z241" s="39"/>
      <c r="AA241" s="39"/>
      <c r="AB241" s="9"/>
      <c r="AC241" s="9"/>
      <c r="AD241" s="9"/>
      <c r="AE241" s="9"/>
      <c r="AF241" s="9"/>
      <c r="AG241" s="40"/>
      <c r="AH241" s="10" t="str">
        <f aca="false">IF(C241="","",C241&amp;"|"&amp;D241&amp;"|"&amp;E241&amp;"|"&amp;H241&amp;"|"&amp;S241)</f>
        <v/>
      </c>
    </row>
    <row r="242" customFormat="false" ht="15" hidden="false" customHeight="false" outlineLevel="0" collapsed="false">
      <c r="A242" s="10" t="str">
        <f aca="false">IF(C242="","","DRN-"&amp;IFERROR(VLOOKUP(C242,Lists!$A$4:$B$21,2,0),"??")&amp;"-"&amp;TEXT(D242,"0000")&amp;"x"&amp;TEXT(E242,"0000")&amp;"-"&amp;IFERROR(VLOOKUP(H242,Lists!$D$4:$E$18,2,0),"??")&amp;"-"&amp;R242)</f>
        <v/>
      </c>
      <c r="B242" s="10" t="str">
        <f aca="false">IF(C242="","",C242&amp;" "&amp;D242&amp;"W x "&amp;E242&amp;"D, "&amp;H242&amp;", "&amp;I242)</f>
        <v/>
      </c>
      <c r="C242" s="9"/>
      <c r="D242" s="36"/>
      <c r="E242" s="36"/>
      <c r="F242" s="36"/>
      <c r="G242" s="36"/>
      <c r="H242" s="9"/>
      <c r="I242" s="9"/>
      <c r="J242" s="9"/>
      <c r="K242" s="9"/>
      <c r="L242" s="36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37"/>
      <c r="Y242" s="38"/>
      <c r="Z242" s="39"/>
      <c r="AA242" s="39"/>
      <c r="AB242" s="9"/>
      <c r="AC242" s="9"/>
      <c r="AD242" s="9"/>
      <c r="AE242" s="9"/>
      <c r="AF242" s="9"/>
      <c r="AG242" s="40"/>
      <c r="AH242" s="10" t="str">
        <f aca="false">IF(C242="","",C242&amp;"|"&amp;D242&amp;"|"&amp;E242&amp;"|"&amp;H242&amp;"|"&amp;S242)</f>
        <v/>
      </c>
    </row>
    <row r="243" customFormat="false" ht="15" hidden="false" customHeight="false" outlineLevel="0" collapsed="false">
      <c r="A243" s="10" t="str">
        <f aca="false">IF(C243="","","DRN-"&amp;IFERROR(VLOOKUP(C243,Lists!$A$4:$B$21,2,0),"??")&amp;"-"&amp;TEXT(D243,"0000")&amp;"x"&amp;TEXT(E243,"0000")&amp;"-"&amp;IFERROR(VLOOKUP(H243,Lists!$D$4:$E$18,2,0),"??")&amp;"-"&amp;R243)</f>
        <v/>
      </c>
      <c r="B243" s="10" t="str">
        <f aca="false">IF(C243="","",C243&amp;" "&amp;D243&amp;"W x "&amp;E243&amp;"D, "&amp;H243&amp;", "&amp;I243)</f>
        <v/>
      </c>
      <c r="C243" s="9"/>
      <c r="D243" s="36"/>
      <c r="E243" s="36"/>
      <c r="F243" s="36"/>
      <c r="G243" s="36"/>
      <c r="H243" s="9"/>
      <c r="I243" s="9"/>
      <c r="J243" s="9"/>
      <c r="K243" s="9"/>
      <c r="L243" s="36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37"/>
      <c r="Y243" s="38"/>
      <c r="Z243" s="39"/>
      <c r="AA243" s="39"/>
      <c r="AB243" s="9"/>
      <c r="AC243" s="9"/>
      <c r="AD243" s="9"/>
      <c r="AE243" s="9"/>
      <c r="AF243" s="9"/>
      <c r="AG243" s="40"/>
      <c r="AH243" s="10" t="str">
        <f aca="false">IF(C243="","",C243&amp;"|"&amp;D243&amp;"|"&amp;E243&amp;"|"&amp;H243&amp;"|"&amp;S243)</f>
        <v/>
      </c>
    </row>
    <row r="244" customFormat="false" ht="15" hidden="false" customHeight="false" outlineLevel="0" collapsed="false">
      <c r="A244" s="10" t="str">
        <f aca="false">IF(C244="","","DRN-"&amp;IFERROR(VLOOKUP(C244,Lists!$A$4:$B$21,2,0),"??")&amp;"-"&amp;TEXT(D244,"0000")&amp;"x"&amp;TEXT(E244,"0000")&amp;"-"&amp;IFERROR(VLOOKUP(H244,Lists!$D$4:$E$18,2,0),"??")&amp;"-"&amp;R244)</f>
        <v/>
      </c>
      <c r="B244" s="10" t="str">
        <f aca="false">IF(C244="","",C244&amp;" "&amp;D244&amp;"W x "&amp;E244&amp;"D, "&amp;H244&amp;", "&amp;I244)</f>
        <v/>
      </c>
      <c r="C244" s="9"/>
      <c r="D244" s="36"/>
      <c r="E244" s="36"/>
      <c r="F244" s="36"/>
      <c r="G244" s="36"/>
      <c r="H244" s="9"/>
      <c r="I244" s="9"/>
      <c r="J244" s="9"/>
      <c r="K244" s="9"/>
      <c r="L244" s="36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37"/>
      <c r="Y244" s="38"/>
      <c r="Z244" s="39"/>
      <c r="AA244" s="39"/>
      <c r="AB244" s="9"/>
      <c r="AC244" s="9"/>
      <c r="AD244" s="9"/>
      <c r="AE244" s="9"/>
      <c r="AF244" s="9"/>
      <c r="AG244" s="40"/>
      <c r="AH244" s="10" t="str">
        <f aca="false">IF(C244="","",C244&amp;"|"&amp;D244&amp;"|"&amp;E244&amp;"|"&amp;H244&amp;"|"&amp;S244)</f>
        <v/>
      </c>
    </row>
    <row r="245" customFormat="false" ht="15" hidden="false" customHeight="false" outlineLevel="0" collapsed="false">
      <c r="A245" s="10" t="str">
        <f aca="false">IF(C245="","","DRN-"&amp;IFERROR(VLOOKUP(C245,Lists!$A$4:$B$21,2,0),"??")&amp;"-"&amp;TEXT(D245,"0000")&amp;"x"&amp;TEXT(E245,"0000")&amp;"-"&amp;IFERROR(VLOOKUP(H245,Lists!$D$4:$E$18,2,0),"??")&amp;"-"&amp;R245)</f>
        <v/>
      </c>
      <c r="B245" s="10" t="str">
        <f aca="false">IF(C245="","",C245&amp;" "&amp;D245&amp;"W x "&amp;E245&amp;"D, "&amp;H245&amp;", "&amp;I245)</f>
        <v/>
      </c>
      <c r="C245" s="9"/>
      <c r="D245" s="36"/>
      <c r="E245" s="36"/>
      <c r="F245" s="36"/>
      <c r="G245" s="36"/>
      <c r="H245" s="9"/>
      <c r="I245" s="9"/>
      <c r="J245" s="9"/>
      <c r="K245" s="9"/>
      <c r="L245" s="36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37"/>
      <c r="Y245" s="38"/>
      <c r="Z245" s="39"/>
      <c r="AA245" s="39"/>
      <c r="AB245" s="9"/>
      <c r="AC245" s="9"/>
      <c r="AD245" s="9"/>
      <c r="AE245" s="9"/>
      <c r="AF245" s="9"/>
      <c r="AG245" s="40"/>
      <c r="AH245" s="10" t="str">
        <f aca="false">IF(C245="","",C245&amp;"|"&amp;D245&amp;"|"&amp;E245&amp;"|"&amp;H245&amp;"|"&amp;S245)</f>
        <v/>
      </c>
    </row>
    <row r="246" customFormat="false" ht="15" hidden="false" customHeight="false" outlineLevel="0" collapsed="false">
      <c r="A246" s="10" t="str">
        <f aca="false">IF(C246="","","DRN-"&amp;IFERROR(VLOOKUP(C246,Lists!$A$4:$B$21,2,0),"??")&amp;"-"&amp;TEXT(D246,"0000")&amp;"x"&amp;TEXT(E246,"0000")&amp;"-"&amp;IFERROR(VLOOKUP(H246,Lists!$D$4:$E$18,2,0),"??")&amp;"-"&amp;R246)</f>
        <v/>
      </c>
      <c r="B246" s="10" t="str">
        <f aca="false">IF(C246="","",C246&amp;" "&amp;D246&amp;"W x "&amp;E246&amp;"D, "&amp;H246&amp;", "&amp;I246)</f>
        <v/>
      </c>
      <c r="C246" s="9"/>
      <c r="D246" s="36"/>
      <c r="E246" s="36"/>
      <c r="F246" s="36"/>
      <c r="G246" s="36"/>
      <c r="H246" s="9"/>
      <c r="I246" s="9"/>
      <c r="J246" s="9"/>
      <c r="K246" s="9"/>
      <c r="L246" s="36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37"/>
      <c r="Y246" s="38"/>
      <c r="Z246" s="39"/>
      <c r="AA246" s="39"/>
      <c r="AB246" s="9"/>
      <c r="AC246" s="9"/>
      <c r="AD246" s="9"/>
      <c r="AE246" s="9"/>
      <c r="AF246" s="9"/>
      <c r="AG246" s="40"/>
      <c r="AH246" s="10" t="str">
        <f aca="false">IF(C246="","",C246&amp;"|"&amp;D246&amp;"|"&amp;E246&amp;"|"&amp;H246&amp;"|"&amp;S246)</f>
        <v/>
      </c>
    </row>
    <row r="247" customFormat="false" ht="15" hidden="false" customHeight="false" outlineLevel="0" collapsed="false">
      <c r="A247" s="10" t="str">
        <f aca="false">IF(C247="","","DRN-"&amp;IFERROR(VLOOKUP(C247,Lists!$A$4:$B$21,2,0),"??")&amp;"-"&amp;TEXT(D247,"0000")&amp;"x"&amp;TEXT(E247,"0000")&amp;"-"&amp;IFERROR(VLOOKUP(H247,Lists!$D$4:$E$18,2,0),"??")&amp;"-"&amp;R247)</f>
        <v/>
      </c>
      <c r="B247" s="10" t="str">
        <f aca="false">IF(C247="","",C247&amp;" "&amp;D247&amp;"W x "&amp;E247&amp;"D, "&amp;H247&amp;", "&amp;I247)</f>
        <v/>
      </c>
      <c r="C247" s="9"/>
      <c r="D247" s="36"/>
      <c r="E247" s="36"/>
      <c r="F247" s="36"/>
      <c r="G247" s="36"/>
      <c r="H247" s="9"/>
      <c r="I247" s="9"/>
      <c r="J247" s="9"/>
      <c r="K247" s="9"/>
      <c r="L247" s="36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37"/>
      <c r="Y247" s="38"/>
      <c r="Z247" s="39"/>
      <c r="AA247" s="39"/>
      <c r="AB247" s="9"/>
      <c r="AC247" s="9"/>
      <c r="AD247" s="9"/>
      <c r="AE247" s="9"/>
      <c r="AF247" s="9"/>
      <c r="AG247" s="40"/>
      <c r="AH247" s="10" t="str">
        <f aca="false">IF(C247="","",C247&amp;"|"&amp;D247&amp;"|"&amp;E247&amp;"|"&amp;H247&amp;"|"&amp;S247)</f>
        <v/>
      </c>
    </row>
    <row r="248" customFormat="false" ht="15" hidden="false" customHeight="false" outlineLevel="0" collapsed="false">
      <c r="A248" s="10" t="str">
        <f aca="false">IF(C248="","","DRN-"&amp;IFERROR(VLOOKUP(C248,Lists!$A$4:$B$21,2,0),"??")&amp;"-"&amp;TEXT(D248,"0000")&amp;"x"&amp;TEXT(E248,"0000")&amp;"-"&amp;IFERROR(VLOOKUP(H248,Lists!$D$4:$E$18,2,0),"??")&amp;"-"&amp;R248)</f>
        <v/>
      </c>
      <c r="B248" s="10" t="str">
        <f aca="false">IF(C248="","",C248&amp;" "&amp;D248&amp;"W x "&amp;E248&amp;"D, "&amp;H248&amp;", "&amp;I248)</f>
        <v/>
      </c>
      <c r="C248" s="9"/>
      <c r="D248" s="36"/>
      <c r="E248" s="36"/>
      <c r="F248" s="36"/>
      <c r="G248" s="36"/>
      <c r="H248" s="9"/>
      <c r="I248" s="9"/>
      <c r="J248" s="9"/>
      <c r="K248" s="9"/>
      <c r="L248" s="36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37"/>
      <c r="Y248" s="38"/>
      <c r="Z248" s="39"/>
      <c r="AA248" s="39"/>
      <c r="AB248" s="9"/>
      <c r="AC248" s="9"/>
      <c r="AD248" s="9"/>
      <c r="AE248" s="9"/>
      <c r="AF248" s="9"/>
      <c r="AG248" s="40"/>
      <c r="AH248" s="10" t="str">
        <f aca="false">IF(C248="","",C248&amp;"|"&amp;D248&amp;"|"&amp;E248&amp;"|"&amp;H248&amp;"|"&amp;S248)</f>
        <v/>
      </c>
    </row>
    <row r="249" customFormat="false" ht="15" hidden="false" customHeight="false" outlineLevel="0" collapsed="false">
      <c r="A249" s="10" t="str">
        <f aca="false">IF(C249="","","DRN-"&amp;IFERROR(VLOOKUP(C249,Lists!$A$4:$B$21,2,0),"??")&amp;"-"&amp;TEXT(D249,"0000")&amp;"x"&amp;TEXT(E249,"0000")&amp;"-"&amp;IFERROR(VLOOKUP(H249,Lists!$D$4:$E$18,2,0),"??")&amp;"-"&amp;R249)</f>
        <v/>
      </c>
      <c r="B249" s="10" t="str">
        <f aca="false">IF(C249="","",C249&amp;" "&amp;D249&amp;"W x "&amp;E249&amp;"D, "&amp;H249&amp;", "&amp;I249)</f>
        <v/>
      </c>
      <c r="C249" s="9"/>
      <c r="D249" s="36"/>
      <c r="E249" s="36"/>
      <c r="F249" s="36"/>
      <c r="G249" s="36"/>
      <c r="H249" s="9"/>
      <c r="I249" s="9"/>
      <c r="J249" s="9"/>
      <c r="K249" s="9"/>
      <c r="L249" s="36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37"/>
      <c r="Y249" s="38"/>
      <c r="Z249" s="39"/>
      <c r="AA249" s="39"/>
      <c r="AB249" s="9"/>
      <c r="AC249" s="9"/>
      <c r="AD249" s="9"/>
      <c r="AE249" s="9"/>
      <c r="AF249" s="9"/>
      <c r="AG249" s="40"/>
      <c r="AH249" s="10" t="str">
        <f aca="false">IF(C249="","",C249&amp;"|"&amp;D249&amp;"|"&amp;E249&amp;"|"&amp;H249&amp;"|"&amp;S249)</f>
        <v/>
      </c>
    </row>
    <row r="250" customFormat="false" ht="15" hidden="false" customHeight="false" outlineLevel="0" collapsed="false">
      <c r="A250" s="10" t="str">
        <f aca="false">IF(C250="","","DRN-"&amp;IFERROR(VLOOKUP(C250,Lists!$A$4:$B$21,2,0),"??")&amp;"-"&amp;TEXT(D250,"0000")&amp;"x"&amp;TEXT(E250,"0000")&amp;"-"&amp;IFERROR(VLOOKUP(H250,Lists!$D$4:$E$18,2,0),"??")&amp;"-"&amp;R250)</f>
        <v/>
      </c>
      <c r="B250" s="10" t="str">
        <f aca="false">IF(C250="","",C250&amp;" "&amp;D250&amp;"W x "&amp;E250&amp;"D, "&amp;H250&amp;", "&amp;I250)</f>
        <v/>
      </c>
      <c r="C250" s="9"/>
      <c r="D250" s="36"/>
      <c r="E250" s="36"/>
      <c r="F250" s="36"/>
      <c r="G250" s="36"/>
      <c r="H250" s="9"/>
      <c r="I250" s="9"/>
      <c r="J250" s="9"/>
      <c r="K250" s="9"/>
      <c r="L250" s="36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37"/>
      <c r="Y250" s="38"/>
      <c r="Z250" s="39"/>
      <c r="AA250" s="39"/>
      <c r="AB250" s="9"/>
      <c r="AC250" s="9"/>
      <c r="AD250" s="9"/>
      <c r="AE250" s="9"/>
      <c r="AF250" s="9"/>
      <c r="AG250" s="40"/>
      <c r="AH250" s="10" t="str">
        <f aca="false">IF(C250="","",C250&amp;"|"&amp;D250&amp;"|"&amp;E250&amp;"|"&amp;H250&amp;"|"&amp;S250)</f>
        <v/>
      </c>
    </row>
    <row r="251" customFormat="false" ht="15" hidden="false" customHeight="false" outlineLevel="0" collapsed="false">
      <c r="A251" s="10" t="str">
        <f aca="false">IF(C251="","","DRN-"&amp;IFERROR(VLOOKUP(C251,Lists!$A$4:$B$21,2,0),"??")&amp;"-"&amp;TEXT(D251,"0000")&amp;"x"&amp;TEXT(E251,"0000")&amp;"-"&amp;IFERROR(VLOOKUP(H251,Lists!$D$4:$E$18,2,0),"??")&amp;"-"&amp;R251)</f>
        <v/>
      </c>
      <c r="B251" s="10" t="str">
        <f aca="false">IF(C251="","",C251&amp;" "&amp;D251&amp;"W x "&amp;E251&amp;"D, "&amp;H251&amp;", "&amp;I251)</f>
        <v/>
      </c>
      <c r="C251" s="9"/>
      <c r="D251" s="36"/>
      <c r="E251" s="36"/>
      <c r="F251" s="36"/>
      <c r="G251" s="36"/>
      <c r="H251" s="9"/>
      <c r="I251" s="9"/>
      <c r="J251" s="9"/>
      <c r="K251" s="9"/>
      <c r="L251" s="36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37"/>
      <c r="Y251" s="38"/>
      <c r="Z251" s="39"/>
      <c r="AA251" s="39"/>
      <c r="AB251" s="9"/>
      <c r="AC251" s="9"/>
      <c r="AD251" s="9"/>
      <c r="AE251" s="9"/>
      <c r="AF251" s="9"/>
      <c r="AG251" s="40"/>
      <c r="AH251" s="10" t="str">
        <f aca="false">IF(C251="","",C251&amp;"|"&amp;D251&amp;"|"&amp;E251&amp;"|"&amp;H251&amp;"|"&amp;S251)</f>
        <v/>
      </c>
    </row>
    <row r="252" customFormat="false" ht="15" hidden="false" customHeight="false" outlineLevel="0" collapsed="false">
      <c r="A252" s="10" t="str">
        <f aca="false">IF(C252="","","DRN-"&amp;IFERROR(VLOOKUP(C252,Lists!$A$4:$B$21,2,0),"??")&amp;"-"&amp;TEXT(D252,"0000")&amp;"x"&amp;TEXT(E252,"0000")&amp;"-"&amp;IFERROR(VLOOKUP(H252,Lists!$D$4:$E$18,2,0),"??")&amp;"-"&amp;R252)</f>
        <v/>
      </c>
      <c r="B252" s="10" t="str">
        <f aca="false">IF(C252="","",C252&amp;" "&amp;D252&amp;"W x "&amp;E252&amp;"D, "&amp;H252&amp;", "&amp;I252)</f>
        <v/>
      </c>
      <c r="C252" s="9"/>
      <c r="D252" s="36"/>
      <c r="E252" s="36"/>
      <c r="F252" s="36"/>
      <c r="G252" s="36"/>
      <c r="H252" s="9"/>
      <c r="I252" s="9"/>
      <c r="J252" s="9"/>
      <c r="K252" s="9"/>
      <c r="L252" s="36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37"/>
      <c r="Y252" s="38"/>
      <c r="Z252" s="39"/>
      <c r="AA252" s="39"/>
      <c r="AB252" s="9"/>
      <c r="AC252" s="9"/>
      <c r="AD252" s="9"/>
      <c r="AE252" s="9"/>
      <c r="AF252" s="9"/>
      <c r="AG252" s="40"/>
      <c r="AH252" s="10" t="str">
        <f aca="false">IF(C252="","",C252&amp;"|"&amp;D252&amp;"|"&amp;E252&amp;"|"&amp;H252&amp;"|"&amp;S252)</f>
        <v/>
      </c>
    </row>
    <row r="253" customFormat="false" ht="15" hidden="false" customHeight="false" outlineLevel="0" collapsed="false">
      <c r="A253" s="10" t="str">
        <f aca="false">IF(C253="","","DRN-"&amp;IFERROR(VLOOKUP(C253,Lists!$A$4:$B$21,2,0),"??")&amp;"-"&amp;TEXT(D253,"0000")&amp;"x"&amp;TEXT(E253,"0000")&amp;"-"&amp;IFERROR(VLOOKUP(H253,Lists!$D$4:$E$18,2,0),"??")&amp;"-"&amp;R253)</f>
        <v/>
      </c>
      <c r="B253" s="10" t="str">
        <f aca="false">IF(C253="","",C253&amp;" "&amp;D253&amp;"W x "&amp;E253&amp;"D, "&amp;H253&amp;", "&amp;I253)</f>
        <v/>
      </c>
      <c r="C253" s="9"/>
      <c r="D253" s="36"/>
      <c r="E253" s="36"/>
      <c r="F253" s="36"/>
      <c r="G253" s="36"/>
      <c r="H253" s="9"/>
      <c r="I253" s="9"/>
      <c r="J253" s="9"/>
      <c r="K253" s="9"/>
      <c r="L253" s="36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37"/>
      <c r="Y253" s="38"/>
      <c r="Z253" s="39"/>
      <c r="AA253" s="39"/>
      <c r="AB253" s="9"/>
      <c r="AC253" s="9"/>
      <c r="AD253" s="9"/>
      <c r="AE253" s="9"/>
      <c r="AF253" s="9"/>
      <c r="AG253" s="40"/>
      <c r="AH253" s="10" t="str">
        <f aca="false">IF(C253="","",C253&amp;"|"&amp;D253&amp;"|"&amp;E253&amp;"|"&amp;H253&amp;"|"&amp;S253)</f>
        <v/>
      </c>
    </row>
    <row r="254" customFormat="false" ht="15" hidden="false" customHeight="false" outlineLevel="0" collapsed="false">
      <c r="A254" s="10" t="str">
        <f aca="false">IF(C254="","","DRN-"&amp;IFERROR(VLOOKUP(C254,Lists!$A$4:$B$21,2,0),"??")&amp;"-"&amp;TEXT(D254,"0000")&amp;"x"&amp;TEXT(E254,"0000")&amp;"-"&amp;IFERROR(VLOOKUP(H254,Lists!$D$4:$E$18,2,0),"??")&amp;"-"&amp;R254)</f>
        <v/>
      </c>
      <c r="B254" s="10" t="str">
        <f aca="false">IF(C254="","",C254&amp;" "&amp;D254&amp;"W x "&amp;E254&amp;"D, "&amp;H254&amp;", "&amp;I254)</f>
        <v/>
      </c>
      <c r="C254" s="9"/>
      <c r="D254" s="36"/>
      <c r="E254" s="36"/>
      <c r="F254" s="36"/>
      <c r="G254" s="36"/>
      <c r="H254" s="9"/>
      <c r="I254" s="9"/>
      <c r="J254" s="9"/>
      <c r="K254" s="9"/>
      <c r="L254" s="36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37"/>
      <c r="Y254" s="38"/>
      <c r="Z254" s="39"/>
      <c r="AA254" s="39"/>
      <c r="AB254" s="9"/>
      <c r="AC254" s="9"/>
      <c r="AD254" s="9"/>
      <c r="AE254" s="9"/>
      <c r="AF254" s="9"/>
      <c r="AG254" s="40"/>
      <c r="AH254" s="10" t="str">
        <f aca="false">IF(C254="","",C254&amp;"|"&amp;D254&amp;"|"&amp;E254&amp;"|"&amp;H254&amp;"|"&amp;S254)</f>
        <v/>
      </c>
    </row>
    <row r="255" customFormat="false" ht="15" hidden="false" customHeight="false" outlineLevel="0" collapsed="false">
      <c r="A255" s="10" t="str">
        <f aca="false">IF(C255="","","DRN-"&amp;IFERROR(VLOOKUP(C255,Lists!$A$4:$B$21,2,0),"??")&amp;"-"&amp;TEXT(D255,"0000")&amp;"x"&amp;TEXT(E255,"0000")&amp;"-"&amp;IFERROR(VLOOKUP(H255,Lists!$D$4:$E$18,2,0),"??")&amp;"-"&amp;R255)</f>
        <v/>
      </c>
      <c r="B255" s="10" t="str">
        <f aca="false">IF(C255="","",C255&amp;" "&amp;D255&amp;"W x "&amp;E255&amp;"D, "&amp;H255&amp;", "&amp;I255)</f>
        <v/>
      </c>
      <c r="C255" s="9"/>
      <c r="D255" s="36"/>
      <c r="E255" s="36"/>
      <c r="F255" s="36"/>
      <c r="G255" s="36"/>
      <c r="H255" s="9"/>
      <c r="I255" s="9"/>
      <c r="J255" s="9"/>
      <c r="K255" s="9"/>
      <c r="L255" s="36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37"/>
      <c r="Y255" s="38"/>
      <c r="Z255" s="39"/>
      <c r="AA255" s="39"/>
      <c r="AB255" s="9"/>
      <c r="AC255" s="9"/>
      <c r="AD255" s="9"/>
      <c r="AE255" s="9"/>
      <c r="AF255" s="9"/>
      <c r="AG255" s="40"/>
      <c r="AH255" s="10" t="str">
        <f aca="false">IF(C255="","",C255&amp;"|"&amp;D255&amp;"|"&amp;E255&amp;"|"&amp;H255&amp;"|"&amp;S255)</f>
        <v/>
      </c>
    </row>
    <row r="256" customFormat="false" ht="15" hidden="false" customHeight="false" outlineLevel="0" collapsed="false">
      <c r="A256" s="10" t="str">
        <f aca="false">IF(C256="","","DRN-"&amp;IFERROR(VLOOKUP(C256,Lists!$A$4:$B$21,2,0),"??")&amp;"-"&amp;TEXT(D256,"0000")&amp;"x"&amp;TEXT(E256,"0000")&amp;"-"&amp;IFERROR(VLOOKUP(H256,Lists!$D$4:$E$18,2,0),"??")&amp;"-"&amp;R256)</f>
        <v/>
      </c>
      <c r="B256" s="10" t="str">
        <f aca="false">IF(C256="","",C256&amp;" "&amp;D256&amp;"W x "&amp;E256&amp;"D, "&amp;H256&amp;", "&amp;I256)</f>
        <v/>
      </c>
      <c r="C256" s="9"/>
      <c r="D256" s="36"/>
      <c r="E256" s="36"/>
      <c r="F256" s="36"/>
      <c r="G256" s="36"/>
      <c r="H256" s="9"/>
      <c r="I256" s="9"/>
      <c r="J256" s="9"/>
      <c r="K256" s="9"/>
      <c r="L256" s="36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37"/>
      <c r="Y256" s="38"/>
      <c r="Z256" s="39"/>
      <c r="AA256" s="39"/>
      <c r="AB256" s="9"/>
      <c r="AC256" s="9"/>
      <c r="AD256" s="9"/>
      <c r="AE256" s="9"/>
      <c r="AF256" s="9"/>
      <c r="AG256" s="40"/>
      <c r="AH256" s="10" t="str">
        <f aca="false">IF(C256="","",C256&amp;"|"&amp;D256&amp;"|"&amp;E256&amp;"|"&amp;H256&amp;"|"&amp;S256)</f>
        <v/>
      </c>
    </row>
    <row r="257" customFormat="false" ht="15" hidden="false" customHeight="false" outlineLevel="0" collapsed="false">
      <c r="A257" s="10" t="str">
        <f aca="false">IF(C257="","","DRN-"&amp;IFERROR(VLOOKUP(C257,Lists!$A$4:$B$21,2,0),"??")&amp;"-"&amp;TEXT(D257,"0000")&amp;"x"&amp;TEXT(E257,"0000")&amp;"-"&amp;IFERROR(VLOOKUP(H257,Lists!$D$4:$E$18,2,0),"??")&amp;"-"&amp;R257)</f>
        <v/>
      </c>
      <c r="B257" s="10" t="str">
        <f aca="false">IF(C257="","",C257&amp;" "&amp;D257&amp;"W x "&amp;E257&amp;"D, "&amp;H257&amp;", "&amp;I257)</f>
        <v/>
      </c>
      <c r="C257" s="9"/>
      <c r="D257" s="36"/>
      <c r="E257" s="36"/>
      <c r="F257" s="36"/>
      <c r="G257" s="36"/>
      <c r="H257" s="9"/>
      <c r="I257" s="9"/>
      <c r="J257" s="9"/>
      <c r="K257" s="9"/>
      <c r="L257" s="36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37"/>
      <c r="Y257" s="38"/>
      <c r="Z257" s="39"/>
      <c r="AA257" s="39"/>
      <c r="AB257" s="9"/>
      <c r="AC257" s="9"/>
      <c r="AD257" s="9"/>
      <c r="AE257" s="9"/>
      <c r="AF257" s="9"/>
      <c r="AG257" s="40"/>
      <c r="AH257" s="10" t="str">
        <f aca="false">IF(C257="","",C257&amp;"|"&amp;D257&amp;"|"&amp;E257&amp;"|"&amp;H257&amp;"|"&amp;S257)</f>
        <v/>
      </c>
    </row>
    <row r="258" customFormat="false" ht="15" hidden="false" customHeight="false" outlineLevel="0" collapsed="false">
      <c r="A258" s="10" t="str">
        <f aca="false">IF(C258="","","DRN-"&amp;IFERROR(VLOOKUP(C258,Lists!$A$4:$B$21,2,0),"??")&amp;"-"&amp;TEXT(D258,"0000")&amp;"x"&amp;TEXT(E258,"0000")&amp;"-"&amp;IFERROR(VLOOKUP(H258,Lists!$D$4:$E$18,2,0),"??")&amp;"-"&amp;R258)</f>
        <v/>
      </c>
      <c r="B258" s="10" t="str">
        <f aca="false">IF(C258="","",C258&amp;" "&amp;D258&amp;"W x "&amp;E258&amp;"D, "&amp;H258&amp;", "&amp;I258)</f>
        <v/>
      </c>
      <c r="C258" s="9"/>
      <c r="D258" s="36"/>
      <c r="E258" s="36"/>
      <c r="F258" s="36"/>
      <c r="G258" s="36"/>
      <c r="H258" s="9"/>
      <c r="I258" s="9"/>
      <c r="J258" s="9"/>
      <c r="K258" s="9"/>
      <c r="L258" s="36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37"/>
      <c r="Y258" s="38"/>
      <c r="Z258" s="39"/>
      <c r="AA258" s="39"/>
      <c r="AB258" s="9"/>
      <c r="AC258" s="9"/>
      <c r="AD258" s="9"/>
      <c r="AE258" s="9"/>
      <c r="AF258" s="9"/>
      <c r="AG258" s="40"/>
      <c r="AH258" s="10" t="str">
        <f aca="false">IF(C258="","",C258&amp;"|"&amp;D258&amp;"|"&amp;E258&amp;"|"&amp;H258&amp;"|"&amp;S258)</f>
        <v/>
      </c>
    </row>
    <row r="259" customFormat="false" ht="15" hidden="false" customHeight="false" outlineLevel="0" collapsed="false">
      <c r="A259" s="10" t="str">
        <f aca="false">IF(C259="","","DRN-"&amp;IFERROR(VLOOKUP(C259,Lists!$A$4:$B$21,2,0),"??")&amp;"-"&amp;TEXT(D259,"0000")&amp;"x"&amp;TEXT(E259,"0000")&amp;"-"&amp;IFERROR(VLOOKUP(H259,Lists!$D$4:$E$18,2,0),"??")&amp;"-"&amp;R259)</f>
        <v/>
      </c>
      <c r="B259" s="10" t="str">
        <f aca="false">IF(C259="","",C259&amp;" "&amp;D259&amp;"W x "&amp;E259&amp;"D, "&amp;H259&amp;", "&amp;I259)</f>
        <v/>
      </c>
      <c r="C259" s="9"/>
      <c r="D259" s="36"/>
      <c r="E259" s="36"/>
      <c r="F259" s="36"/>
      <c r="G259" s="36"/>
      <c r="H259" s="9"/>
      <c r="I259" s="9"/>
      <c r="J259" s="9"/>
      <c r="K259" s="9"/>
      <c r="L259" s="36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37"/>
      <c r="Y259" s="38"/>
      <c r="Z259" s="39"/>
      <c r="AA259" s="39"/>
      <c r="AB259" s="9"/>
      <c r="AC259" s="9"/>
      <c r="AD259" s="9"/>
      <c r="AE259" s="9"/>
      <c r="AF259" s="9"/>
      <c r="AG259" s="40"/>
      <c r="AH259" s="10" t="str">
        <f aca="false">IF(C259="","",C259&amp;"|"&amp;D259&amp;"|"&amp;E259&amp;"|"&amp;H259&amp;"|"&amp;S259)</f>
        <v/>
      </c>
    </row>
    <row r="260" customFormat="false" ht="15" hidden="false" customHeight="false" outlineLevel="0" collapsed="false">
      <c r="A260" s="10" t="str">
        <f aca="false">IF(C260="","","DRN-"&amp;IFERROR(VLOOKUP(C260,Lists!$A$4:$B$21,2,0),"??")&amp;"-"&amp;TEXT(D260,"0000")&amp;"x"&amp;TEXT(E260,"0000")&amp;"-"&amp;IFERROR(VLOOKUP(H260,Lists!$D$4:$E$18,2,0),"??")&amp;"-"&amp;R260)</f>
        <v/>
      </c>
      <c r="B260" s="10" t="str">
        <f aca="false">IF(C260="","",C260&amp;" "&amp;D260&amp;"W x "&amp;E260&amp;"D, "&amp;H260&amp;", "&amp;I260)</f>
        <v/>
      </c>
      <c r="C260" s="9"/>
      <c r="D260" s="36"/>
      <c r="E260" s="36"/>
      <c r="F260" s="36"/>
      <c r="G260" s="36"/>
      <c r="H260" s="9"/>
      <c r="I260" s="9"/>
      <c r="J260" s="9"/>
      <c r="K260" s="9"/>
      <c r="L260" s="36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37"/>
      <c r="Y260" s="38"/>
      <c r="Z260" s="39"/>
      <c r="AA260" s="39"/>
      <c r="AB260" s="9"/>
      <c r="AC260" s="9"/>
      <c r="AD260" s="9"/>
      <c r="AE260" s="9"/>
      <c r="AF260" s="9"/>
      <c r="AG260" s="40"/>
      <c r="AH260" s="10" t="str">
        <f aca="false">IF(C260="","",C260&amp;"|"&amp;D260&amp;"|"&amp;E260&amp;"|"&amp;H260&amp;"|"&amp;S260)</f>
        <v/>
      </c>
    </row>
    <row r="261" customFormat="false" ht="15" hidden="false" customHeight="false" outlineLevel="0" collapsed="false">
      <c r="A261" s="10" t="str">
        <f aca="false">IF(C261="","","DRN-"&amp;IFERROR(VLOOKUP(C261,Lists!$A$4:$B$21,2,0),"??")&amp;"-"&amp;TEXT(D261,"0000")&amp;"x"&amp;TEXT(E261,"0000")&amp;"-"&amp;IFERROR(VLOOKUP(H261,Lists!$D$4:$E$18,2,0),"??")&amp;"-"&amp;R261)</f>
        <v/>
      </c>
      <c r="B261" s="10" t="str">
        <f aca="false">IF(C261="","",C261&amp;" "&amp;D261&amp;"W x "&amp;E261&amp;"D, "&amp;H261&amp;", "&amp;I261)</f>
        <v/>
      </c>
      <c r="C261" s="9"/>
      <c r="D261" s="36"/>
      <c r="E261" s="36"/>
      <c r="F261" s="36"/>
      <c r="G261" s="36"/>
      <c r="H261" s="9"/>
      <c r="I261" s="9"/>
      <c r="J261" s="9"/>
      <c r="K261" s="9"/>
      <c r="L261" s="36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37"/>
      <c r="Y261" s="38"/>
      <c r="Z261" s="39"/>
      <c r="AA261" s="39"/>
      <c r="AB261" s="9"/>
      <c r="AC261" s="9"/>
      <c r="AD261" s="9"/>
      <c r="AE261" s="9"/>
      <c r="AF261" s="9"/>
      <c r="AG261" s="40"/>
      <c r="AH261" s="10" t="str">
        <f aca="false">IF(C261="","",C261&amp;"|"&amp;D261&amp;"|"&amp;E261&amp;"|"&amp;H261&amp;"|"&amp;S261)</f>
        <v/>
      </c>
    </row>
    <row r="262" customFormat="false" ht="15" hidden="false" customHeight="false" outlineLevel="0" collapsed="false">
      <c r="A262" s="10" t="str">
        <f aca="false">IF(C262="","","DRN-"&amp;IFERROR(VLOOKUP(C262,Lists!$A$4:$B$21,2,0),"??")&amp;"-"&amp;TEXT(D262,"0000")&amp;"x"&amp;TEXT(E262,"0000")&amp;"-"&amp;IFERROR(VLOOKUP(H262,Lists!$D$4:$E$18,2,0),"??")&amp;"-"&amp;R262)</f>
        <v/>
      </c>
      <c r="B262" s="10" t="str">
        <f aca="false">IF(C262="","",C262&amp;" "&amp;D262&amp;"W x "&amp;E262&amp;"D, "&amp;H262&amp;", "&amp;I262)</f>
        <v/>
      </c>
      <c r="C262" s="9"/>
      <c r="D262" s="36"/>
      <c r="E262" s="36"/>
      <c r="F262" s="36"/>
      <c r="G262" s="36"/>
      <c r="H262" s="9"/>
      <c r="I262" s="9"/>
      <c r="J262" s="9"/>
      <c r="K262" s="9"/>
      <c r="L262" s="36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37"/>
      <c r="Y262" s="38"/>
      <c r="Z262" s="39"/>
      <c r="AA262" s="39"/>
      <c r="AB262" s="9"/>
      <c r="AC262" s="9"/>
      <c r="AD262" s="9"/>
      <c r="AE262" s="9"/>
      <c r="AF262" s="9"/>
      <c r="AG262" s="40"/>
      <c r="AH262" s="10" t="str">
        <f aca="false">IF(C262="","",C262&amp;"|"&amp;D262&amp;"|"&amp;E262&amp;"|"&amp;H262&amp;"|"&amp;S262)</f>
        <v/>
      </c>
    </row>
    <row r="263" customFormat="false" ht="15" hidden="false" customHeight="false" outlineLevel="0" collapsed="false">
      <c r="A263" s="10" t="str">
        <f aca="false">IF(C263="","","DRN-"&amp;IFERROR(VLOOKUP(C263,Lists!$A$4:$B$21,2,0),"??")&amp;"-"&amp;TEXT(D263,"0000")&amp;"x"&amp;TEXT(E263,"0000")&amp;"-"&amp;IFERROR(VLOOKUP(H263,Lists!$D$4:$E$18,2,0),"??")&amp;"-"&amp;R263)</f>
        <v/>
      </c>
      <c r="B263" s="10" t="str">
        <f aca="false">IF(C263="","",C263&amp;" "&amp;D263&amp;"W x "&amp;E263&amp;"D, "&amp;H263&amp;", "&amp;I263)</f>
        <v/>
      </c>
      <c r="C263" s="9"/>
      <c r="D263" s="36"/>
      <c r="E263" s="36"/>
      <c r="F263" s="36"/>
      <c r="G263" s="36"/>
      <c r="H263" s="9"/>
      <c r="I263" s="9"/>
      <c r="J263" s="9"/>
      <c r="K263" s="9"/>
      <c r="L263" s="36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37"/>
      <c r="Y263" s="38"/>
      <c r="Z263" s="39"/>
      <c r="AA263" s="39"/>
      <c r="AB263" s="9"/>
      <c r="AC263" s="9"/>
      <c r="AD263" s="9"/>
      <c r="AE263" s="9"/>
      <c r="AF263" s="9"/>
      <c r="AG263" s="40"/>
      <c r="AH263" s="10" t="str">
        <f aca="false">IF(C263="","",C263&amp;"|"&amp;D263&amp;"|"&amp;E263&amp;"|"&amp;H263&amp;"|"&amp;S263)</f>
        <v/>
      </c>
    </row>
    <row r="264" customFormat="false" ht="15" hidden="false" customHeight="false" outlineLevel="0" collapsed="false">
      <c r="A264" s="10" t="str">
        <f aca="false">IF(C264="","","DRN-"&amp;IFERROR(VLOOKUP(C264,Lists!$A$4:$B$21,2,0),"??")&amp;"-"&amp;TEXT(D264,"0000")&amp;"x"&amp;TEXT(E264,"0000")&amp;"-"&amp;IFERROR(VLOOKUP(H264,Lists!$D$4:$E$18,2,0),"??")&amp;"-"&amp;R264)</f>
        <v/>
      </c>
      <c r="B264" s="10" t="str">
        <f aca="false">IF(C264="","",C264&amp;" "&amp;D264&amp;"W x "&amp;E264&amp;"D, "&amp;H264&amp;", "&amp;I264)</f>
        <v/>
      </c>
      <c r="C264" s="9"/>
      <c r="D264" s="36"/>
      <c r="E264" s="36"/>
      <c r="F264" s="36"/>
      <c r="G264" s="36"/>
      <c r="H264" s="9"/>
      <c r="I264" s="9"/>
      <c r="J264" s="9"/>
      <c r="K264" s="9"/>
      <c r="L264" s="36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37"/>
      <c r="Y264" s="38"/>
      <c r="Z264" s="39"/>
      <c r="AA264" s="39"/>
      <c r="AB264" s="9"/>
      <c r="AC264" s="9"/>
      <c r="AD264" s="9"/>
      <c r="AE264" s="9"/>
      <c r="AF264" s="9"/>
      <c r="AG264" s="40"/>
      <c r="AH264" s="10" t="str">
        <f aca="false">IF(C264="","",C264&amp;"|"&amp;D264&amp;"|"&amp;E264&amp;"|"&amp;H264&amp;"|"&amp;S264)</f>
        <v/>
      </c>
    </row>
    <row r="265" customFormat="false" ht="15" hidden="false" customHeight="false" outlineLevel="0" collapsed="false">
      <c r="A265" s="10" t="str">
        <f aca="false">IF(C265="","","DRN-"&amp;IFERROR(VLOOKUP(C265,Lists!$A$4:$B$21,2,0),"??")&amp;"-"&amp;TEXT(D265,"0000")&amp;"x"&amp;TEXT(E265,"0000")&amp;"-"&amp;IFERROR(VLOOKUP(H265,Lists!$D$4:$E$18,2,0),"??")&amp;"-"&amp;R265)</f>
        <v/>
      </c>
      <c r="B265" s="10" t="str">
        <f aca="false">IF(C265="","",C265&amp;" "&amp;D265&amp;"W x "&amp;E265&amp;"D, "&amp;H265&amp;", "&amp;I265)</f>
        <v/>
      </c>
      <c r="C265" s="9"/>
      <c r="D265" s="36"/>
      <c r="E265" s="36"/>
      <c r="F265" s="36"/>
      <c r="G265" s="36"/>
      <c r="H265" s="9"/>
      <c r="I265" s="9"/>
      <c r="J265" s="9"/>
      <c r="K265" s="9"/>
      <c r="L265" s="36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37"/>
      <c r="Y265" s="38"/>
      <c r="Z265" s="39"/>
      <c r="AA265" s="39"/>
      <c r="AB265" s="9"/>
      <c r="AC265" s="9"/>
      <c r="AD265" s="9"/>
      <c r="AE265" s="9"/>
      <c r="AF265" s="9"/>
      <c r="AG265" s="40"/>
      <c r="AH265" s="10" t="str">
        <f aca="false">IF(C265="","",C265&amp;"|"&amp;D265&amp;"|"&amp;E265&amp;"|"&amp;H265&amp;"|"&amp;S265)</f>
        <v/>
      </c>
    </row>
    <row r="266" customFormat="false" ht="15" hidden="false" customHeight="false" outlineLevel="0" collapsed="false">
      <c r="A266" s="10" t="str">
        <f aca="false">IF(C266="","","DRN-"&amp;IFERROR(VLOOKUP(C266,Lists!$A$4:$B$21,2,0),"??")&amp;"-"&amp;TEXT(D266,"0000")&amp;"x"&amp;TEXT(E266,"0000")&amp;"-"&amp;IFERROR(VLOOKUP(H266,Lists!$D$4:$E$18,2,0),"??")&amp;"-"&amp;R266)</f>
        <v/>
      </c>
      <c r="B266" s="10" t="str">
        <f aca="false">IF(C266="","",C266&amp;" "&amp;D266&amp;"W x "&amp;E266&amp;"D, "&amp;H266&amp;", "&amp;I266)</f>
        <v/>
      </c>
      <c r="C266" s="9"/>
      <c r="D266" s="36"/>
      <c r="E266" s="36"/>
      <c r="F266" s="36"/>
      <c r="G266" s="36"/>
      <c r="H266" s="9"/>
      <c r="I266" s="9"/>
      <c r="J266" s="9"/>
      <c r="K266" s="9"/>
      <c r="L266" s="36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37"/>
      <c r="Y266" s="38"/>
      <c r="Z266" s="39"/>
      <c r="AA266" s="39"/>
      <c r="AB266" s="9"/>
      <c r="AC266" s="9"/>
      <c r="AD266" s="9"/>
      <c r="AE266" s="9"/>
      <c r="AF266" s="9"/>
      <c r="AG266" s="40"/>
      <c r="AH266" s="10" t="str">
        <f aca="false">IF(C266="","",C266&amp;"|"&amp;D266&amp;"|"&amp;E266&amp;"|"&amp;H266&amp;"|"&amp;S266)</f>
        <v/>
      </c>
    </row>
    <row r="267" customFormat="false" ht="15" hidden="false" customHeight="false" outlineLevel="0" collapsed="false">
      <c r="A267" s="10" t="str">
        <f aca="false">IF(C267="","","DRN-"&amp;IFERROR(VLOOKUP(C267,Lists!$A$4:$B$21,2,0),"??")&amp;"-"&amp;TEXT(D267,"0000")&amp;"x"&amp;TEXT(E267,"0000")&amp;"-"&amp;IFERROR(VLOOKUP(H267,Lists!$D$4:$E$18,2,0),"??")&amp;"-"&amp;R267)</f>
        <v/>
      </c>
      <c r="B267" s="10" t="str">
        <f aca="false">IF(C267="","",C267&amp;" "&amp;D267&amp;"W x "&amp;E267&amp;"D, "&amp;H267&amp;", "&amp;I267)</f>
        <v/>
      </c>
      <c r="C267" s="9"/>
      <c r="D267" s="36"/>
      <c r="E267" s="36"/>
      <c r="F267" s="36"/>
      <c r="G267" s="36"/>
      <c r="H267" s="9"/>
      <c r="I267" s="9"/>
      <c r="J267" s="9"/>
      <c r="K267" s="9"/>
      <c r="L267" s="36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37"/>
      <c r="Y267" s="38"/>
      <c r="Z267" s="39"/>
      <c r="AA267" s="39"/>
      <c r="AB267" s="9"/>
      <c r="AC267" s="9"/>
      <c r="AD267" s="9"/>
      <c r="AE267" s="9"/>
      <c r="AF267" s="9"/>
      <c r="AG267" s="40"/>
      <c r="AH267" s="10" t="str">
        <f aca="false">IF(C267="","",C267&amp;"|"&amp;D267&amp;"|"&amp;E267&amp;"|"&amp;H267&amp;"|"&amp;S267)</f>
        <v/>
      </c>
    </row>
    <row r="268" customFormat="false" ht="15" hidden="false" customHeight="false" outlineLevel="0" collapsed="false">
      <c r="A268" s="10" t="str">
        <f aca="false">IF(C268="","","DRN-"&amp;IFERROR(VLOOKUP(C268,Lists!$A$4:$B$21,2,0),"??")&amp;"-"&amp;TEXT(D268,"0000")&amp;"x"&amp;TEXT(E268,"0000")&amp;"-"&amp;IFERROR(VLOOKUP(H268,Lists!$D$4:$E$18,2,0),"??")&amp;"-"&amp;R268)</f>
        <v/>
      </c>
      <c r="B268" s="10" t="str">
        <f aca="false">IF(C268="","",C268&amp;" "&amp;D268&amp;"W x "&amp;E268&amp;"D, "&amp;H268&amp;", "&amp;I268)</f>
        <v/>
      </c>
      <c r="C268" s="9"/>
      <c r="D268" s="36"/>
      <c r="E268" s="36"/>
      <c r="F268" s="36"/>
      <c r="G268" s="36"/>
      <c r="H268" s="9"/>
      <c r="I268" s="9"/>
      <c r="J268" s="9"/>
      <c r="K268" s="9"/>
      <c r="L268" s="36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37"/>
      <c r="Y268" s="38"/>
      <c r="Z268" s="39"/>
      <c r="AA268" s="39"/>
      <c r="AB268" s="9"/>
      <c r="AC268" s="9"/>
      <c r="AD268" s="9"/>
      <c r="AE268" s="9"/>
      <c r="AF268" s="9"/>
      <c r="AG268" s="40"/>
      <c r="AH268" s="10" t="str">
        <f aca="false">IF(C268="","",C268&amp;"|"&amp;D268&amp;"|"&amp;E268&amp;"|"&amp;H268&amp;"|"&amp;S268)</f>
        <v/>
      </c>
    </row>
    <row r="269" customFormat="false" ht="15" hidden="false" customHeight="false" outlineLevel="0" collapsed="false">
      <c r="A269" s="10" t="str">
        <f aca="false">IF(C269="","","DRN-"&amp;IFERROR(VLOOKUP(C269,Lists!$A$4:$B$21,2,0),"??")&amp;"-"&amp;TEXT(D269,"0000")&amp;"x"&amp;TEXT(E269,"0000")&amp;"-"&amp;IFERROR(VLOOKUP(H269,Lists!$D$4:$E$18,2,0),"??")&amp;"-"&amp;R269)</f>
        <v/>
      </c>
      <c r="B269" s="10" t="str">
        <f aca="false">IF(C269="","",C269&amp;" "&amp;D269&amp;"W x "&amp;E269&amp;"D, "&amp;H269&amp;", "&amp;I269)</f>
        <v/>
      </c>
      <c r="C269" s="9"/>
      <c r="D269" s="36"/>
      <c r="E269" s="36"/>
      <c r="F269" s="36"/>
      <c r="G269" s="36"/>
      <c r="H269" s="9"/>
      <c r="I269" s="9"/>
      <c r="J269" s="9"/>
      <c r="K269" s="9"/>
      <c r="L269" s="36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37"/>
      <c r="Y269" s="38"/>
      <c r="Z269" s="39"/>
      <c r="AA269" s="39"/>
      <c r="AB269" s="9"/>
      <c r="AC269" s="9"/>
      <c r="AD269" s="9"/>
      <c r="AE269" s="9"/>
      <c r="AF269" s="9"/>
      <c r="AG269" s="40"/>
      <c r="AH269" s="10" t="str">
        <f aca="false">IF(C269="","",C269&amp;"|"&amp;D269&amp;"|"&amp;E269&amp;"|"&amp;H269&amp;"|"&amp;S269)</f>
        <v/>
      </c>
    </row>
    <row r="270" customFormat="false" ht="15" hidden="false" customHeight="false" outlineLevel="0" collapsed="false">
      <c r="A270" s="10" t="str">
        <f aca="false">IF(C270="","","DRN-"&amp;IFERROR(VLOOKUP(C270,Lists!$A$4:$B$21,2,0),"??")&amp;"-"&amp;TEXT(D270,"0000")&amp;"x"&amp;TEXT(E270,"0000")&amp;"-"&amp;IFERROR(VLOOKUP(H270,Lists!$D$4:$E$18,2,0),"??")&amp;"-"&amp;R270)</f>
        <v/>
      </c>
      <c r="B270" s="10" t="str">
        <f aca="false">IF(C270="","",C270&amp;" "&amp;D270&amp;"W x "&amp;E270&amp;"D, "&amp;H270&amp;", "&amp;I270)</f>
        <v/>
      </c>
      <c r="C270" s="9"/>
      <c r="D270" s="36"/>
      <c r="E270" s="36"/>
      <c r="F270" s="36"/>
      <c r="G270" s="36"/>
      <c r="H270" s="9"/>
      <c r="I270" s="9"/>
      <c r="J270" s="9"/>
      <c r="K270" s="9"/>
      <c r="L270" s="36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37"/>
      <c r="Y270" s="38"/>
      <c r="Z270" s="39"/>
      <c r="AA270" s="39"/>
      <c r="AB270" s="9"/>
      <c r="AC270" s="9"/>
      <c r="AD270" s="9"/>
      <c r="AE270" s="9"/>
      <c r="AF270" s="9"/>
      <c r="AG270" s="40"/>
      <c r="AH270" s="10" t="str">
        <f aca="false">IF(C270="","",C270&amp;"|"&amp;D270&amp;"|"&amp;E270&amp;"|"&amp;H270&amp;"|"&amp;S270)</f>
        <v/>
      </c>
    </row>
    <row r="271" customFormat="false" ht="15" hidden="false" customHeight="false" outlineLevel="0" collapsed="false">
      <c r="A271" s="10" t="str">
        <f aca="false">IF(C271="","","DRN-"&amp;IFERROR(VLOOKUP(C271,Lists!$A$4:$B$21,2,0),"??")&amp;"-"&amp;TEXT(D271,"0000")&amp;"x"&amp;TEXT(E271,"0000")&amp;"-"&amp;IFERROR(VLOOKUP(H271,Lists!$D$4:$E$18,2,0),"??")&amp;"-"&amp;R271)</f>
        <v/>
      </c>
      <c r="B271" s="10" t="str">
        <f aca="false">IF(C271="","",C271&amp;" "&amp;D271&amp;"W x "&amp;E271&amp;"D, "&amp;H271&amp;", "&amp;I271)</f>
        <v/>
      </c>
      <c r="C271" s="9"/>
      <c r="D271" s="36"/>
      <c r="E271" s="36"/>
      <c r="F271" s="36"/>
      <c r="G271" s="36"/>
      <c r="H271" s="9"/>
      <c r="I271" s="9"/>
      <c r="J271" s="9"/>
      <c r="K271" s="9"/>
      <c r="L271" s="36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37"/>
      <c r="Y271" s="38"/>
      <c r="Z271" s="39"/>
      <c r="AA271" s="39"/>
      <c r="AB271" s="9"/>
      <c r="AC271" s="9"/>
      <c r="AD271" s="9"/>
      <c r="AE271" s="9"/>
      <c r="AF271" s="9"/>
      <c r="AG271" s="40"/>
      <c r="AH271" s="10" t="str">
        <f aca="false">IF(C271="","",C271&amp;"|"&amp;D271&amp;"|"&amp;E271&amp;"|"&amp;H271&amp;"|"&amp;S271)</f>
        <v/>
      </c>
    </row>
    <row r="272" customFormat="false" ht="15" hidden="false" customHeight="false" outlineLevel="0" collapsed="false">
      <c r="A272" s="10" t="str">
        <f aca="false">IF(C272="","","DRN-"&amp;IFERROR(VLOOKUP(C272,Lists!$A$4:$B$21,2,0),"??")&amp;"-"&amp;TEXT(D272,"0000")&amp;"x"&amp;TEXT(E272,"0000")&amp;"-"&amp;IFERROR(VLOOKUP(H272,Lists!$D$4:$E$18,2,0),"??")&amp;"-"&amp;R272)</f>
        <v/>
      </c>
      <c r="B272" s="10" t="str">
        <f aca="false">IF(C272="","",C272&amp;" "&amp;D272&amp;"W x "&amp;E272&amp;"D, "&amp;H272&amp;", "&amp;I272)</f>
        <v/>
      </c>
      <c r="C272" s="9"/>
      <c r="D272" s="36"/>
      <c r="E272" s="36"/>
      <c r="F272" s="36"/>
      <c r="G272" s="36"/>
      <c r="H272" s="9"/>
      <c r="I272" s="9"/>
      <c r="J272" s="9"/>
      <c r="K272" s="9"/>
      <c r="L272" s="36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37"/>
      <c r="Y272" s="38"/>
      <c r="Z272" s="39"/>
      <c r="AA272" s="39"/>
      <c r="AB272" s="9"/>
      <c r="AC272" s="9"/>
      <c r="AD272" s="9"/>
      <c r="AE272" s="9"/>
      <c r="AF272" s="9"/>
      <c r="AG272" s="40"/>
      <c r="AH272" s="10" t="str">
        <f aca="false">IF(C272="","",C272&amp;"|"&amp;D272&amp;"|"&amp;E272&amp;"|"&amp;H272&amp;"|"&amp;S272)</f>
        <v/>
      </c>
    </row>
    <row r="273" customFormat="false" ht="15" hidden="false" customHeight="false" outlineLevel="0" collapsed="false">
      <c r="A273" s="10" t="str">
        <f aca="false">IF(C273="","","DRN-"&amp;IFERROR(VLOOKUP(C273,Lists!$A$4:$B$21,2,0),"??")&amp;"-"&amp;TEXT(D273,"0000")&amp;"x"&amp;TEXT(E273,"0000")&amp;"-"&amp;IFERROR(VLOOKUP(H273,Lists!$D$4:$E$18,2,0),"??")&amp;"-"&amp;R273)</f>
        <v/>
      </c>
      <c r="B273" s="10" t="str">
        <f aca="false">IF(C273="","",C273&amp;" "&amp;D273&amp;"W x "&amp;E273&amp;"D, "&amp;H273&amp;", "&amp;I273)</f>
        <v/>
      </c>
      <c r="C273" s="9"/>
      <c r="D273" s="36"/>
      <c r="E273" s="36"/>
      <c r="F273" s="36"/>
      <c r="G273" s="36"/>
      <c r="H273" s="9"/>
      <c r="I273" s="9"/>
      <c r="J273" s="9"/>
      <c r="K273" s="9"/>
      <c r="L273" s="36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37"/>
      <c r="Y273" s="38"/>
      <c r="Z273" s="39"/>
      <c r="AA273" s="39"/>
      <c r="AB273" s="9"/>
      <c r="AC273" s="9"/>
      <c r="AD273" s="9"/>
      <c r="AE273" s="9"/>
      <c r="AF273" s="9"/>
      <c r="AG273" s="40"/>
      <c r="AH273" s="10" t="str">
        <f aca="false">IF(C273="","",C273&amp;"|"&amp;D273&amp;"|"&amp;E273&amp;"|"&amp;H273&amp;"|"&amp;S273)</f>
        <v/>
      </c>
    </row>
    <row r="274" customFormat="false" ht="15" hidden="false" customHeight="false" outlineLevel="0" collapsed="false">
      <c r="A274" s="10" t="str">
        <f aca="false">IF(C274="","","DRN-"&amp;IFERROR(VLOOKUP(C274,Lists!$A$4:$B$21,2,0),"??")&amp;"-"&amp;TEXT(D274,"0000")&amp;"x"&amp;TEXT(E274,"0000")&amp;"-"&amp;IFERROR(VLOOKUP(H274,Lists!$D$4:$E$18,2,0),"??")&amp;"-"&amp;R274)</f>
        <v/>
      </c>
      <c r="B274" s="10" t="str">
        <f aca="false">IF(C274="","",C274&amp;" "&amp;D274&amp;"W x "&amp;E274&amp;"D, "&amp;H274&amp;", "&amp;I274)</f>
        <v/>
      </c>
      <c r="C274" s="9"/>
      <c r="D274" s="36"/>
      <c r="E274" s="36"/>
      <c r="F274" s="36"/>
      <c r="G274" s="36"/>
      <c r="H274" s="9"/>
      <c r="I274" s="9"/>
      <c r="J274" s="9"/>
      <c r="K274" s="9"/>
      <c r="L274" s="36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37"/>
      <c r="Y274" s="38"/>
      <c r="Z274" s="39"/>
      <c r="AA274" s="39"/>
      <c r="AB274" s="9"/>
      <c r="AC274" s="9"/>
      <c r="AD274" s="9"/>
      <c r="AE274" s="9"/>
      <c r="AF274" s="9"/>
      <c r="AG274" s="40"/>
      <c r="AH274" s="10" t="str">
        <f aca="false">IF(C274="","",C274&amp;"|"&amp;D274&amp;"|"&amp;E274&amp;"|"&amp;H274&amp;"|"&amp;S274)</f>
        <v/>
      </c>
    </row>
    <row r="275" customFormat="false" ht="15" hidden="false" customHeight="false" outlineLevel="0" collapsed="false">
      <c r="A275" s="10" t="str">
        <f aca="false">IF(C275="","","DRN-"&amp;IFERROR(VLOOKUP(C275,Lists!$A$4:$B$21,2,0),"??")&amp;"-"&amp;TEXT(D275,"0000")&amp;"x"&amp;TEXT(E275,"0000")&amp;"-"&amp;IFERROR(VLOOKUP(H275,Lists!$D$4:$E$18,2,0),"??")&amp;"-"&amp;R275)</f>
        <v/>
      </c>
      <c r="B275" s="10" t="str">
        <f aca="false">IF(C275="","",C275&amp;" "&amp;D275&amp;"W x "&amp;E275&amp;"D, "&amp;H275&amp;", "&amp;I275)</f>
        <v/>
      </c>
      <c r="C275" s="9"/>
      <c r="D275" s="36"/>
      <c r="E275" s="36"/>
      <c r="F275" s="36"/>
      <c r="G275" s="36"/>
      <c r="H275" s="9"/>
      <c r="I275" s="9"/>
      <c r="J275" s="9"/>
      <c r="K275" s="9"/>
      <c r="L275" s="36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37"/>
      <c r="Y275" s="38"/>
      <c r="Z275" s="39"/>
      <c r="AA275" s="39"/>
      <c r="AB275" s="9"/>
      <c r="AC275" s="9"/>
      <c r="AD275" s="9"/>
      <c r="AE275" s="9"/>
      <c r="AF275" s="9"/>
      <c r="AG275" s="40"/>
      <c r="AH275" s="10" t="str">
        <f aca="false">IF(C275="","",C275&amp;"|"&amp;D275&amp;"|"&amp;E275&amp;"|"&amp;H275&amp;"|"&amp;S275)</f>
        <v/>
      </c>
    </row>
    <row r="276" customFormat="false" ht="15" hidden="false" customHeight="false" outlineLevel="0" collapsed="false">
      <c r="A276" s="10" t="str">
        <f aca="false">IF(C276="","","DRN-"&amp;IFERROR(VLOOKUP(C276,Lists!$A$4:$B$21,2,0),"??")&amp;"-"&amp;TEXT(D276,"0000")&amp;"x"&amp;TEXT(E276,"0000")&amp;"-"&amp;IFERROR(VLOOKUP(H276,Lists!$D$4:$E$18,2,0),"??")&amp;"-"&amp;R276)</f>
        <v/>
      </c>
      <c r="B276" s="10" t="str">
        <f aca="false">IF(C276="","",C276&amp;" "&amp;D276&amp;"W x "&amp;E276&amp;"D, "&amp;H276&amp;", "&amp;I276)</f>
        <v/>
      </c>
      <c r="C276" s="9"/>
      <c r="D276" s="36"/>
      <c r="E276" s="36"/>
      <c r="F276" s="36"/>
      <c r="G276" s="36"/>
      <c r="H276" s="9"/>
      <c r="I276" s="9"/>
      <c r="J276" s="9"/>
      <c r="K276" s="9"/>
      <c r="L276" s="36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37"/>
      <c r="Y276" s="38"/>
      <c r="Z276" s="39"/>
      <c r="AA276" s="39"/>
      <c r="AB276" s="9"/>
      <c r="AC276" s="9"/>
      <c r="AD276" s="9"/>
      <c r="AE276" s="9"/>
      <c r="AF276" s="9"/>
      <c r="AG276" s="40"/>
      <c r="AH276" s="10" t="str">
        <f aca="false">IF(C276="","",C276&amp;"|"&amp;D276&amp;"|"&amp;E276&amp;"|"&amp;H276&amp;"|"&amp;S276)</f>
        <v/>
      </c>
    </row>
    <row r="277" customFormat="false" ht="15" hidden="false" customHeight="false" outlineLevel="0" collapsed="false">
      <c r="A277" s="10" t="str">
        <f aca="false">IF(C277="","","DRN-"&amp;IFERROR(VLOOKUP(C277,Lists!$A$4:$B$21,2,0),"??")&amp;"-"&amp;TEXT(D277,"0000")&amp;"x"&amp;TEXT(E277,"0000")&amp;"-"&amp;IFERROR(VLOOKUP(H277,Lists!$D$4:$E$18,2,0),"??")&amp;"-"&amp;R277)</f>
        <v/>
      </c>
      <c r="B277" s="10" t="str">
        <f aca="false">IF(C277="","",C277&amp;" "&amp;D277&amp;"W x "&amp;E277&amp;"D, "&amp;H277&amp;", "&amp;I277)</f>
        <v/>
      </c>
      <c r="C277" s="9"/>
      <c r="D277" s="36"/>
      <c r="E277" s="36"/>
      <c r="F277" s="36"/>
      <c r="G277" s="36"/>
      <c r="H277" s="9"/>
      <c r="I277" s="9"/>
      <c r="J277" s="9"/>
      <c r="K277" s="9"/>
      <c r="L277" s="36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37"/>
      <c r="Y277" s="38"/>
      <c r="Z277" s="39"/>
      <c r="AA277" s="39"/>
      <c r="AB277" s="9"/>
      <c r="AC277" s="9"/>
      <c r="AD277" s="9"/>
      <c r="AE277" s="9"/>
      <c r="AF277" s="9"/>
      <c r="AG277" s="40"/>
      <c r="AH277" s="10" t="str">
        <f aca="false">IF(C277="","",C277&amp;"|"&amp;D277&amp;"|"&amp;E277&amp;"|"&amp;H277&amp;"|"&amp;S277)</f>
        <v/>
      </c>
    </row>
    <row r="278" customFormat="false" ht="15" hidden="false" customHeight="false" outlineLevel="0" collapsed="false">
      <c r="A278" s="10" t="str">
        <f aca="false">IF(C278="","","DRN-"&amp;IFERROR(VLOOKUP(C278,Lists!$A$4:$B$21,2,0),"??")&amp;"-"&amp;TEXT(D278,"0000")&amp;"x"&amp;TEXT(E278,"0000")&amp;"-"&amp;IFERROR(VLOOKUP(H278,Lists!$D$4:$E$18,2,0),"??")&amp;"-"&amp;R278)</f>
        <v/>
      </c>
      <c r="B278" s="10" t="str">
        <f aca="false">IF(C278="","",C278&amp;" "&amp;D278&amp;"W x "&amp;E278&amp;"D, "&amp;H278&amp;", "&amp;I278)</f>
        <v/>
      </c>
      <c r="C278" s="9"/>
      <c r="D278" s="36"/>
      <c r="E278" s="36"/>
      <c r="F278" s="36"/>
      <c r="G278" s="36"/>
      <c r="H278" s="9"/>
      <c r="I278" s="9"/>
      <c r="J278" s="9"/>
      <c r="K278" s="9"/>
      <c r="L278" s="36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37"/>
      <c r="Y278" s="38"/>
      <c r="Z278" s="39"/>
      <c r="AA278" s="39"/>
      <c r="AB278" s="9"/>
      <c r="AC278" s="9"/>
      <c r="AD278" s="9"/>
      <c r="AE278" s="9"/>
      <c r="AF278" s="9"/>
      <c r="AG278" s="40"/>
      <c r="AH278" s="10" t="str">
        <f aca="false">IF(C278="","",C278&amp;"|"&amp;D278&amp;"|"&amp;E278&amp;"|"&amp;H278&amp;"|"&amp;S278)</f>
        <v/>
      </c>
    </row>
    <row r="279" customFormat="false" ht="15" hidden="false" customHeight="false" outlineLevel="0" collapsed="false">
      <c r="A279" s="10" t="str">
        <f aca="false">IF(C279="","","DRN-"&amp;IFERROR(VLOOKUP(C279,Lists!$A$4:$B$21,2,0),"??")&amp;"-"&amp;TEXT(D279,"0000")&amp;"x"&amp;TEXT(E279,"0000")&amp;"-"&amp;IFERROR(VLOOKUP(H279,Lists!$D$4:$E$18,2,0),"??")&amp;"-"&amp;R279)</f>
        <v/>
      </c>
      <c r="B279" s="10" t="str">
        <f aca="false">IF(C279="","",C279&amp;" "&amp;D279&amp;"W x "&amp;E279&amp;"D, "&amp;H279&amp;", "&amp;I279)</f>
        <v/>
      </c>
      <c r="C279" s="9"/>
      <c r="D279" s="36"/>
      <c r="E279" s="36"/>
      <c r="F279" s="36"/>
      <c r="G279" s="36"/>
      <c r="H279" s="9"/>
      <c r="I279" s="9"/>
      <c r="J279" s="9"/>
      <c r="K279" s="9"/>
      <c r="L279" s="36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37"/>
      <c r="Y279" s="38"/>
      <c r="Z279" s="39"/>
      <c r="AA279" s="39"/>
      <c r="AB279" s="9"/>
      <c r="AC279" s="9"/>
      <c r="AD279" s="9"/>
      <c r="AE279" s="9"/>
      <c r="AF279" s="9"/>
      <c r="AG279" s="40"/>
      <c r="AH279" s="10" t="str">
        <f aca="false">IF(C279="","",C279&amp;"|"&amp;D279&amp;"|"&amp;E279&amp;"|"&amp;H279&amp;"|"&amp;S279)</f>
        <v/>
      </c>
    </row>
    <row r="280" customFormat="false" ht="15" hidden="false" customHeight="false" outlineLevel="0" collapsed="false">
      <c r="A280" s="10" t="str">
        <f aca="false">IF(C280="","","DRN-"&amp;IFERROR(VLOOKUP(C280,Lists!$A$4:$B$21,2,0),"??")&amp;"-"&amp;TEXT(D280,"0000")&amp;"x"&amp;TEXT(E280,"0000")&amp;"-"&amp;IFERROR(VLOOKUP(H280,Lists!$D$4:$E$18,2,0),"??")&amp;"-"&amp;R280)</f>
        <v/>
      </c>
      <c r="B280" s="10" t="str">
        <f aca="false">IF(C280="","",C280&amp;" "&amp;D280&amp;"W x "&amp;E280&amp;"D, "&amp;H280&amp;", "&amp;I280)</f>
        <v/>
      </c>
      <c r="C280" s="9"/>
      <c r="D280" s="36"/>
      <c r="E280" s="36"/>
      <c r="F280" s="36"/>
      <c r="G280" s="36"/>
      <c r="H280" s="9"/>
      <c r="I280" s="9"/>
      <c r="J280" s="9"/>
      <c r="K280" s="9"/>
      <c r="L280" s="36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37"/>
      <c r="Y280" s="38"/>
      <c r="Z280" s="39"/>
      <c r="AA280" s="39"/>
      <c r="AB280" s="9"/>
      <c r="AC280" s="9"/>
      <c r="AD280" s="9"/>
      <c r="AE280" s="9"/>
      <c r="AF280" s="9"/>
      <c r="AG280" s="40"/>
      <c r="AH280" s="10" t="str">
        <f aca="false">IF(C280="","",C280&amp;"|"&amp;D280&amp;"|"&amp;E280&amp;"|"&amp;H280&amp;"|"&amp;S280)</f>
        <v/>
      </c>
    </row>
    <row r="281" customFormat="false" ht="15" hidden="false" customHeight="false" outlineLevel="0" collapsed="false">
      <c r="A281" s="10" t="str">
        <f aca="false">IF(C281="","","DRN-"&amp;IFERROR(VLOOKUP(C281,Lists!$A$4:$B$21,2,0),"??")&amp;"-"&amp;TEXT(D281,"0000")&amp;"x"&amp;TEXT(E281,"0000")&amp;"-"&amp;IFERROR(VLOOKUP(H281,Lists!$D$4:$E$18,2,0),"??")&amp;"-"&amp;R281)</f>
        <v/>
      </c>
      <c r="B281" s="10" t="str">
        <f aca="false">IF(C281="","",C281&amp;" "&amp;D281&amp;"W x "&amp;E281&amp;"D, "&amp;H281&amp;", "&amp;I281)</f>
        <v/>
      </c>
      <c r="C281" s="9"/>
      <c r="D281" s="36"/>
      <c r="E281" s="36"/>
      <c r="F281" s="36"/>
      <c r="G281" s="36"/>
      <c r="H281" s="9"/>
      <c r="I281" s="9"/>
      <c r="J281" s="9"/>
      <c r="K281" s="9"/>
      <c r="L281" s="36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37"/>
      <c r="Y281" s="38"/>
      <c r="Z281" s="39"/>
      <c r="AA281" s="39"/>
      <c r="AB281" s="9"/>
      <c r="AC281" s="9"/>
      <c r="AD281" s="9"/>
      <c r="AE281" s="9"/>
      <c r="AF281" s="9"/>
      <c r="AG281" s="40"/>
      <c r="AH281" s="10" t="str">
        <f aca="false">IF(C281="","",C281&amp;"|"&amp;D281&amp;"|"&amp;E281&amp;"|"&amp;H281&amp;"|"&amp;S281)</f>
        <v/>
      </c>
    </row>
    <row r="282" customFormat="false" ht="15" hidden="false" customHeight="false" outlineLevel="0" collapsed="false">
      <c r="A282" s="10" t="str">
        <f aca="false">IF(C282="","","DRN-"&amp;IFERROR(VLOOKUP(C282,Lists!$A$4:$B$21,2,0),"??")&amp;"-"&amp;TEXT(D282,"0000")&amp;"x"&amp;TEXT(E282,"0000")&amp;"-"&amp;IFERROR(VLOOKUP(H282,Lists!$D$4:$E$18,2,0),"??")&amp;"-"&amp;R282)</f>
        <v/>
      </c>
      <c r="B282" s="10" t="str">
        <f aca="false">IF(C282="","",C282&amp;" "&amp;D282&amp;"W x "&amp;E282&amp;"D, "&amp;H282&amp;", "&amp;I282)</f>
        <v/>
      </c>
      <c r="C282" s="9"/>
      <c r="D282" s="36"/>
      <c r="E282" s="36"/>
      <c r="F282" s="36"/>
      <c r="G282" s="36"/>
      <c r="H282" s="9"/>
      <c r="I282" s="9"/>
      <c r="J282" s="9"/>
      <c r="K282" s="9"/>
      <c r="L282" s="36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37"/>
      <c r="Y282" s="38"/>
      <c r="Z282" s="39"/>
      <c r="AA282" s="39"/>
      <c r="AB282" s="9"/>
      <c r="AC282" s="9"/>
      <c r="AD282" s="9"/>
      <c r="AE282" s="9"/>
      <c r="AF282" s="9"/>
      <c r="AG282" s="40"/>
      <c r="AH282" s="10" t="str">
        <f aca="false">IF(C282="","",C282&amp;"|"&amp;D282&amp;"|"&amp;E282&amp;"|"&amp;H282&amp;"|"&amp;S282)</f>
        <v/>
      </c>
    </row>
    <row r="283" customFormat="false" ht="15" hidden="false" customHeight="false" outlineLevel="0" collapsed="false">
      <c r="A283" s="10" t="str">
        <f aca="false">IF(C283="","","DRN-"&amp;IFERROR(VLOOKUP(C283,Lists!$A$4:$B$21,2,0),"??")&amp;"-"&amp;TEXT(D283,"0000")&amp;"x"&amp;TEXT(E283,"0000")&amp;"-"&amp;IFERROR(VLOOKUP(H283,Lists!$D$4:$E$18,2,0),"??")&amp;"-"&amp;R283)</f>
        <v/>
      </c>
      <c r="B283" s="10" t="str">
        <f aca="false">IF(C283="","",C283&amp;" "&amp;D283&amp;"W x "&amp;E283&amp;"D, "&amp;H283&amp;", "&amp;I283)</f>
        <v/>
      </c>
      <c r="C283" s="9"/>
      <c r="D283" s="36"/>
      <c r="E283" s="36"/>
      <c r="F283" s="36"/>
      <c r="G283" s="36"/>
      <c r="H283" s="9"/>
      <c r="I283" s="9"/>
      <c r="J283" s="9"/>
      <c r="K283" s="9"/>
      <c r="L283" s="36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37"/>
      <c r="Y283" s="38"/>
      <c r="Z283" s="39"/>
      <c r="AA283" s="39"/>
      <c r="AB283" s="9"/>
      <c r="AC283" s="9"/>
      <c r="AD283" s="9"/>
      <c r="AE283" s="9"/>
      <c r="AF283" s="9"/>
      <c r="AG283" s="40"/>
      <c r="AH283" s="10" t="str">
        <f aca="false">IF(C283="","",C283&amp;"|"&amp;D283&amp;"|"&amp;E283&amp;"|"&amp;H283&amp;"|"&amp;S283)</f>
        <v/>
      </c>
    </row>
    <row r="284" customFormat="false" ht="15" hidden="false" customHeight="false" outlineLevel="0" collapsed="false">
      <c r="A284" s="10" t="str">
        <f aca="false">IF(C284="","","DRN-"&amp;IFERROR(VLOOKUP(C284,Lists!$A$4:$B$21,2,0),"??")&amp;"-"&amp;TEXT(D284,"0000")&amp;"x"&amp;TEXT(E284,"0000")&amp;"-"&amp;IFERROR(VLOOKUP(H284,Lists!$D$4:$E$18,2,0),"??")&amp;"-"&amp;R284)</f>
        <v/>
      </c>
      <c r="B284" s="10" t="str">
        <f aca="false">IF(C284="","",C284&amp;" "&amp;D284&amp;"W x "&amp;E284&amp;"D, "&amp;H284&amp;", "&amp;I284)</f>
        <v/>
      </c>
      <c r="C284" s="9"/>
      <c r="D284" s="36"/>
      <c r="E284" s="36"/>
      <c r="F284" s="36"/>
      <c r="G284" s="36"/>
      <c r="H284" s="9"/>
      <c r="I284" s="9"/>
      <c r="J284" s="9"/>
      <c r="K284" s="9"/>
      <c r="L284" s="36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37"/>
      <c r="Y284" s="38"/>
      <c r="Z284" s="39"/>
      <c r="AA284" s="39"/>
      <c r="AB284" s="9"/>
      <c r="AC284" s="9"/>
      <c r="AD284" s="9"/>
      <c r="AE284" s="9"/>
      <c r="AF284" s="9"/>
      <c r="AG284" s="40"/>
      <c r="AH284" s="10" t="str">
        <f aca="false">IF(C284="","",C284&amp;"|"&amp;D284&amp;"|"&amp;E284&amp;"|"&amp;H284&amp;"|"&amp;S284)</f>
        <v/>
      </c>
    </row>
    <row r="285" customFormat="false" ht="15" hidden="false" customHeight="false" outlineLevel="0" collapsed="false">
      <c r="A285" s="10" t="str">
        <f aca="false">IF(C285="","","DRN-"&amp;IFERROR(VLOOKUP(C285,Lists!$A$4:$B$21,2,0),"??")&amp;"-"&amp;TEXT(D285,"0000")&amp;"x"&amp;TEXT(E285,"0000")&amp;"-"&amp;IFERROR(VLOOKUP(H285,Lists!$D$4:$E$18,2,0),"??")&amp;"-"&amp;R285)</f>
        <v/>
      </c>
      <c r="B285" s="10" t="str">
        <f aca="false">IF(C285="","",C285&amp;" "&amp;D285&amp;"W x "&amp;E285&amp;"D, "&amp;H285&amp;", "&amp;I285)</f>
        <v/>
      </c>
      <c r="C285" s="9"/>
      <c r="D285" s="36"/>
      <c r="E285" s="36"/>
      <c r="F285" s="36"/>
      <c r="G285" s="36"/>
      <c r="H285" s="9"/>
      <c r="I285" s="9"/>
      <c r="J285" s="9"/>
      <c r="K285" s="9"/>
      <c r="L285" s="36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37"/>
      <c r="Y285" s="38"/>
      <c r="Z285" s="39"/>
      <c r="AA285" s="39"/>
      <c r="AB285" s="9"/>
      <c r="AC285" s="9"/>
      <c r="AD285" s="9"/>
      <c r="AE285" s="9"/>
      <c r="AF285" s="9"/>
      <c r="AG285" s="40"/>
      <c r="AH285" s="10" t="str">
        <f aca="false">IF(C285="","",C285&amp;"|"&amp;D285&amp;"|"&amp;E285&amp;"|"&amp;H285&amp;"|"&amp;S285)</f>
        <v/>
      </c>
    </row>
    <row r="286" customFormat="false" ht="15" hidden="false" customHeight="false" outlineLevel="0" collapsed="false">
      <c r="A286" s="10" t="str">
        <f aca="false">IF(C286="","","DRN-"&amp;IFERROR(VLOOKUP(C286,Lists!$A$4:$B$21,2,0),"??")&amp;"-"&amp;TEXT(D286,"0000")&amp;"x"&amp;TEXT(E286,"0000")&amp;"-"&amp;IFERROR(VLOOKUP(H286,Lists!$D$4:$E$18,2,0),"??")&amp;"-"&amp;R286)</f>
        <v/>
      </c>
      <c r="B286" s="10" t="str">
        <f aca="false">IF(C286="","",C286&amp;" "&amp;D286&amp;"W x "&amp;E286&amp;"D, "&amp;H286&amp;", "&amp;I286)</f>
        <v/>
      </c>
      <c r="C286" s="9"/>
      <c r="D286" s="36"/>
      <c r="E286" s="36"/>
      <c r="F286" s="36"/>
      <c r="G286" s="36"/>
      <c r="H286" s="9"/>
      <c r="I286" s="9"/>
      <c r="J286" s="9"/>
      <c r="K286" s="9"/>
      <c r="L286" s="36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37"/>
      <c r="Y286" s="38"/>
      <c r="Z286" s="39"/>
      <c r="AA286" s="39"/>
      <c r="AB286" s="9"/>
      <c r="AC286" s="9"/>
      <c r="AD286" s="9"/>
      <c r="AE286" s="9"/>
      <c r="AF286" s="9"/>
      <c r="AG286" s="40"/>
      <c r="AH286" s="10" t="str">
        <f aca="false">IF(C286="","",C286&amp;"|"&amp;D286&amp;"|"&amp;E286&amp;"|"&amp;H286&amp;"|"&amp;S286)</f>
        <v/>
      </c>
    </row>
    <row r="287" customFormat="false" ht="15" hidden="false" customHeight="false" outlineLevel="0" collapsed="false">
      <c r="A287" s="10" t="str">
        <f aca="false">IF(C287="","","DRN-"&amp;IFERROR(VLOOKUP(C287,Lists!$A$4:$B$21,2,0),"??")&amp;"-"&amp;TEXT(D287,"0000")&amp;"x"&amp;TEXT(E287,"0000")&amp;"-"&amp;IFERROR(VLOOKUP(H287,Lists!$D$4:$E$18,2,0),"??")&amp;"-"&amp;R287)</f>
        <v/>
      </c>
      <c r="B287" s="10" t="str">
        <f aca="false">IF(C287="","",C287&amp;" "&amp;D287&amp;"W x "&amp;E287&amp;"D, "&amp;H287&amp;", "&amp;I287)</f>
        <v/>
      </c>
      <c r="C287" s="9"/>
      <c r="D287" s="36"/>
      <c r="E287" s="36"/>
      <c r="F287" s="36"/>
      <c r="G287" s="36"/>
      <c r="H287" s="9"/>
      <c r="I287" s="9"/>
      <c r="J287" s="9"/>
      <c r="K287" s="9"/>
      <c r="L287" s="36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37"/>
      <c r="Y287" s="38"/>
      <c r="Z287" s="39"/>
      <c r="AA287" s="39"/>
      <c r="AB287" s="9"/>
      <c r="AC287" s="9"/>
      <c r="AD287" s="9"/>
      <c r="AE287" s="9"/>
      <c r="AF287" s="9"/>
      <c r="AG287" s="40"/>
      <c r="AH287" s="10" t="str">
        <f aca="false">IF(C287="","",C287&amp;"|"&amp;D287&amp;"|"&amp;E287&amp;"|"&amp;H287&amp;"|"&amp;S287)</f>
        <v/>
      </c>
    </row>
    <row r="288" customFormat="false" ht="15" hidden="false" customHeight="false" outlineLevel="0" collapsed="false">
      <c r="A288" s="10" t="str">
        <f aca="false">IF(C288="","","DRN-"&amp;IFERROR(VLOOKUP(C288,Lists!$A$4:$B$21,2,0),"??")&amp;"-"&amp;TEXT(D288,"0000")&amp;"x"&amp;TEXT(E288,"0000")&amp;"-"&amp;IFERROR(VLOOKUP(H288,Lists!$D$4:$E$18,2,0),"??")&amp;"-"&amp;R288)</f>
        <v/>
      </c>
      <c r="B288" s="10" t="str">
        <f aca="false">IF(C288="","",C288&amp;" "&amp;D288&amp;"W x "&amp;E288&amp;"D, "&amp;H288&amp;", "&amp;I288)</f>
        <v/>
      </c>
      <c r="C288" s="9"/>
      <c r="D288" s="36"/>
      <c r="E288" s="36"/>
      <c r="F288" s="36"/>
      <c r="G288" s="36"/>
      <c r="H288" s="9"/>
      <c r="I288" s="9"/>
      <c r="J288" s="9"/>
      <c r="K288" s="9"/>
      <c r="L288" s="36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37"/>
      <c r="Y288" s="38"/>
      <c r="Z288" s="39"/>
      <c r="AA288" s="39"/>
      <c r="AB288" s="9"/>
      <c r="AC288" s="9"/>
      <c r="AD288" s="9"/>
      <c r="AE288" s="9"/>
      <c r="AF288" s="9"/>
      <c r="AG288" s="40"/>
      <c r="AH288" s="10" t="str">
        <f aca="false">IF(C288="","",C288&amp;"|"&amp;D288&amp;"|"&amp;E288&amp;"|"&amp;H288&amp;"|"&amp;S288)</f>
        <v/>
      </c>
    </row>
    <row r="289" customFormat="false" ht="15" hidden="false" customHeight="false" outlineLevel="0" collapsed="false">
      <c r="A289" s="10" t="str">
        <f aca="false">IF(C289="","","DRN-"&amp;IFERROR(VLOOKUP(C289,Lists!$A$4:$B$21,2,0),"??")&amp;"-"&amp;TEXT(D289,"0000")&amp;"x"&amp;TEXT(E289,"0000")&amp;"-"&amp;IFERROR(VLOOKUP(H289,Lists!$D$4:$E$18,2,0),"??")&amp;"-"&amp;R289)</f>
        <v/>
      </c>
      <c r="B289" s="10" t="str">
        <f aca="false">IF(C289="","",C289&amp;" "&amp;D289&amp;"W x "&amp;E289&amp;"D, "&amp;H289&amp;", "&amp;I289)</f>
        <v/>
      </c>
      <c r="C289" s="9"/>
      <c r="D289" s="36"/>
      <c r="E289" s="36"/>
      <c r="F289" s="36"/>
      <c r="G289" s="36"/>
      <c r="H289" s="9"/>
      <c r="I289" s="9"/>
      <c r="J289" s="9"/>
      <c r="K289" s="9"/>
      <c r="L289" s="36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37"/>
      <c r="Y289" s="38"/>
      <c r="Z289" s="39"/>
      <c r="AA289" s="39"/>
      <c r="AB289" s="9"/>
      <c r="AC289" s="9"/>
      <c r="AD289" s="9"/>
      <c r="AE289" s="9"/>
      <c r="AF289" s="9"/>
      <c r="AG289" s="40"/>
      <c r="AH289" s="10" t="str">
        <f aca="false">IF(C289="","",C289&amp;"|"&amp;D289&amp;"|"&amp;E289&amp;"|"&amp;H289&amp;"|"&amp;S289)</f>
        <v/>
      </c>
    </row>
    <row r="290" customFormat="false" ht="15" hidden="false" customHeight="false" outlineLevel="0" collapsed="false">
      <c r="A290" s="10" t="str">
        <f aca="false">IF(C290="","","DRN-"&amp;IFERROR(VLOOKUP(C290,Lists!$A$4:$B$21,2,0),"??")&amp;"-"&amp;TEXT(D290,"0000")&amp;"x"&amp;TEXT(E290,"0000")&amp;"-"&amp;IFERROR(VLOOKUP(H290,Lists!$D$4:$E$18,2,0),"??")&amp;"-"&amp;R290)</f>
        <v/>
      </c>
      <c r="B290" s="10" t="str">
        <f aca="false">IF(C290="","",C290&amp;" "&amp;D290&amp;"W x "&amp;E290&amp;"D, "&amp;H290&amp;", "&amp;I290)</f>
        <v/>
      </c>
      <c r="C290" s="9"/>
      <c r="D290" s="36"/>
      <c r="E290" s="36"/>
      <c r="F290" s="36"/>
      <c r="G290" s="36"/>
      <c r="H290" s="9"/>
      <c r="I290" s="9"/>
      <c r="J290" s="9"/>
      <c r="K290" s="9"/>
      <c r="L290" s="36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37"/>
      <c r="Y290" s="38"/>
      <c r="Z290" s="39"/>
      <c r="AA290" s="39"/>
      <c r="AB290" s="9"/>
      <c r="AC290" s="9"/>
      <c r="AD290" s="9"/>
      <c r="AE290" s="9"/>
      <c r="AF290" s="9"/>
      <c r="AG290" s="40"/>
      <c r="AH290" s="10" t="str">
        <f aca="false">IF(C290="","",C290&amp;"|"&amp;D290&amp;"|"&amp;E290&amp;"|"&amp;H290&amp;"|"&amp;S290)</f>
        <v/>
      </c>
    </row>
    <row r="291" customFormat="false" ht="15" hidden="false" customHeight="false" outlineLevel="0" collapsed="false">
      <c r="A291" s="10" t="str">
        <f aca="false">IF(C291="","","DRN-"&amp;IFERROR(VLOOKUP(C291,Lists!$A$4:$B$21,2,0),"??")&amp;"-"&amp;TEXT(D291,"0000")&amp;"x"&amp;TEXT(E291,"0000")&amp;"-"&amp;IFERROR(VLOOKUP(H291,Lists!$D$4:$E$18,2,0),"??")&amp;"-"&amp;R291)</f>
        <v/>
      </c>
      <c r="B291" s="10" t="str">
        <f aca="false">IF(C291="","",C291&amp;" "&amp;D291&amp;"W x "&amp;E291&amp;"D, "&amp;H291&amp;", "&amp;I291)</f>
        <v/>
      </c>
      <c r="C291" s="9"/>
      <c r="D291" s="36"/>
      <c r="E291" s="36"/>
      <c r="F291" s="36"/>
      <c r="G291" s="36"/>
      <c r="H291" s="9"/>
      <c r="I291" s="9"/>
      <c r="J291" s="9"/>
      <c r="K291" s="9"/>
      <c r="L291" s="36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37"/>
      <c r="Y291" s="38"/>
      <c r="Z291" s="39"/>
      <c r="AA291" s="39"/>
      <c r="AB291" s="9"/>
      <c r="AC291" s="9"/>
      <c r="AD291" s="9"/>
      <c r="AE291" s="9"/>
      <c r="AF291" s="9"/>
      <c r="AG291" s="40"/>
      <c r="AH291" s="10" t="str">
        <f aca="false">IF(C291="","",C291&amp;"|"&amp;D291&amp;"|"&amp;E291&amp;"|"&amp;H291&amp;"|"&amp;S291)</f>
        <v/>
      </c>
    </row>
    <row r="292" customFormat="false" ht="15" hidden="false" customHeight="false" outlineLevel="0" collapsed="false">
      <c r="A292" s="10" t="str">
        <f aca="false">IF(C292="","","DRN-"&amp;IFERROR(VLOOKUP(C292,Lists!$A$4:$B$21,2,0),"??")&amp;"-"&amp;TEXT(D292,"0000")&amp;"x"&amp;TEXT(E292,"0000")&amp;"-"&amp;IFERROR(VLOOKUP(H292,Lists!$D$4:$E$18,2,0),"??")&amp;"-"&amp;R292)</f>
        <v/>
      </c>
      <c r="B292" s="10" t="str">
        <f aca="false">IF(C292="","",C292&amp;" "&amp;D292&amp;"W x "&amp;E292&amp;"D, "&amp;H292&amp;", "&amp;I292)</f>
        <v/>
      </c>
      <c r="C292" s="9"/>
      <c r="D292" s="36"/>
      <c r="E292" s="36"/>
      <c r="F292" s="36"/>
      <c r="G292" s="36"/>
      <c r="H292" s="9"/>
      <c r="I292" s="9"/>
      <c r="J292" s="9"/>
      <c r="K292" s="9"/>
      <c r="L292" s="36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37"/>
      <c r="Y292" s="38"/>
      <c r="Z292" s="39"/>
      <c r="AA292" s="39"/>
      <c r="AB292" s="9"/>
      <c r="AC292" s="9"/>
      <c r="AD292" s="9"/>
      <c r="AE292" s="9"/>
      <c r="AF292" s="9"/>
      <c r="AG292" s="40"/>
      <c r="AH292" s="10" t="str">
        <f aca="false">IF(C292="","",C292&amp;"|"&amp;D292&amp;"|"&amp;E292&amp;"|"&amp;H292&amp;"|"&amp;S292)</f>
        <v/>
      </c>
    </row>
    <row r="293" customFormat="false" ht="15" hidden="false" customHeight="false" outlineLevel="0" collapsed="false">
      <c r="A293" s="10" t="str">
        <f aca="false">IF(C293="","","DRN-"&amp;IFERROR(VLOOKUP(C293,Lists!$A$4:$B$21,2,0),"??")&amp;"-"&amp;TEXT(D293,"0000")&amp;"x"&amp;TEXT(E293,"0000")&amp;"-"&amp;IFERROR(VLOOKUP(H293,Lists!$D$4:$E$18,2,0),"??")&amp;"-"&amp;R293)</f>
        <v/>
      </c>
      <c r="B293" s="10" t="str">
        <f aca="false">IF(C293="","",C293&amp;" "&amp;D293&amp;"W x "&amp;E293&amp;"D, "&amp;H293&amp;", "&amp;I293)</f>
        <v/>
      </c>
      <c r="C293" s="9"/>
      <c r="D293" s="36"/>
      <c r="E293" s="36"/>
      <c r="F293" s="36"/>
      <c r="G293" s="36"/>
      <c r="H293" s="9"/>
      <c r="I293" s="9"/>
      <c r="J293" s="9"/>
      <c r="K293" s="9"/>
      <c r="L293" s="36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37"/>
      <c r="Y293" s="38"/>
      <c r="Z293" s="39"/>
      <c r="AA293" s="39"/>
      <c r="AB293" s="9"/>
      <c r="AC293" s="9"/>
      <c r="AD293" s="9"/>
      <c r="AE293" s="9"/>
      <c r="AF293" s="9"/>
      <c r="AG293" s="40"/>
      <c r="AH293" s="10" t="str">
        <f aca="false">IF(C293="","",C293&amp;"|"&amp;D293&amp;"|"&amp;E293&amp;"|"&amp;H293&amp;"|"&amp;S293)</f>
        <v/>
      </c>
    </row>
    <row r="294" customFormat="false" ht="15" hidden="false" customHeight="false" outlineLevel="0" collapsed="false">
      <c r="A294" s="10" t="str">
        <f aca="false">IF(C294="","","DRN-"&amp;IFERROR(VLOOKUP(C294,Lists!$A$4:$B$21,2,0),"??")&amp;"-"&amp;TEXT(D294,"0000")&amp;"x"&amp;TEXT(E294,"0000")&amp;"-"&amp;IFERROR(VLOOKUP(H294,Lists!$D$4:$E$18,2,0),"??")&amp;"-"&amp;R294)</f>
        <v/>
      </c>
      <c r="B294" s="10" t="str">
        <f aca="false">IF(C294="","",C294&amp;" "&amp;D294&amp;"W x "&amp;E294&amp;"D, "&amp;H294&amp;", "&amp;I294)</f>
        <v/>
      </c>
      <c r="C294" s="9"/>
      <c r="D294" s="36"/>
      <c r="E294" s="36"/>
      <c r="F294" s="36"/>
      <c r="G294" s="36"/>
      <c r="H294" s="9"/>
      <c r="I294" s="9"/>
      <c r="J294" s="9"/>
      <c r="K294" s="9"/>
      <c r="L294" s="36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37"/>
      <c r="Y294" s="38"/>
      <c r="Z294" s="39"/>
      <c r="AA294" s="39"/>
      <c r="AB294" s="9"/>
      <c r="AC294" s="9"/>
      <c r="AD294" s="9"/>
      <c r="AE294" s="9"/>
      <c r="AF294" s="9"/>
      <c r="AG294" s="40"/>
      <c r="AH294" s="10" t="str">
        <f aca="false">IF(C294="","",C294&amp;"|"&amp;D294&amp;"|"&amp;E294&amp;"|"&amp;H294&amp;"|"&amp;S294)</f>
        <v/>
      </c>
    </row>
    <row r="295" customFormat="false" ht="15" hidden="false" customHeight="false" outlineLevel="0" collapsed="false">
      <c r="A295" s="10" t="str">
        <f aca="false">IF(C295="","","DRN-"&amp;IFERROR(VLOOKUP(C295,Lists!$A$4:$B$21,2,0),"??")&amp;"-"&amp;TEXT(D295,"0000")&amp;"x"&amp;TEXT(E295,"0000")&amp;"-"&amp;IFERROR(VLOOKUP(H295,Lists!$D$4:$E$18,2,0),"??")&amp;"-"&amp;R295)</f>
        <v/>
      </c>
      <c r="B295" s="10" t="str">
        <f aca="false">IF(C295="","",C295&amp;" "&amp;D295&amp;"W x "&amp;E295&amp;"D, "&amp;H295&amp;", "&amp;I295)</f>
        <v/>
      </c>
      <c r="C295" s="9"/>
      <c r="D295" s="36"/>
      <c r="E295" s="36"/>
      <c r="F295" s="36"/>
      <c r="G295" s="36"/>
      <c r="H295" s="9"/>
      <c r="I295" s="9"/>
      <c r="J295" s="9"/>
      <c r="K295" s="9"/>
      <c r="L295" s="36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37"/>
      <c r="Y295" s="38"/>
      <c r="Z295" s="39"/>
      <c r="AA295" s="39"/>
      <c r="AB295" s="9"/>
      <c r="AC295" s="9"/>
      <c r="AD295" s="9"/>
      <c r="AE295" s="9"/>
      <c r="AF295" s="9"/>
      <c r="AG295" s="40"/>
      <c r="AH295" s="10" t="str">
        <f aca="false">IF(C295="","",C295&amp;"|"&amp;D295&amp;"|"&amp;E295&amp;"|"&amp;H295&amp;"|"&amp;S295)</f>
        <v/>
      </c>
    </row>
    <row r="296" customFormat="false" ht="15" hidden="false" customHeight="false" outlineLevel="0" collapsed="false">
      <c r="A296" s="10" t="str">
        <f aca="false">IF(C296="","","DRN-"&amp;IFERROR(VLOOKUP(C296,Lists!$A$4:$B$21,2,0),"??")&amp;"-"&amp;TEXT(D296,"0000")&amp;"x"&amp;TEXT(E296,"0000")&amp;"-"&amp;IFERROR(VLOOKUP(H296,Lists!$D$4:$E$18,2,0),"??")&amp;"-"&amp;R296)</f>
        <v/>
      </c>
      <c r="B296" s="10" t="str">
        <f aca="false">IF(C296="","",C296&amp;" "&amp;D296&amp;"W x "&amp;E296&amp;"D, "&amp;H296&amp;", "&amp;I296)</f>
        <v/>
      </c>
      <c r="C296" s="9"/>
      <c r="D296" s="36"/>
      <c r="E296" s="36"/>
      <c r="F296" s="36"/>
      <c r="G296" s="36"/>
      <c r="H296" s="9"/>
      <c r="I296" s="9"/>
      <c r="J296" s="9"/>
      <c r="K296" s="9"/>
      <c r="L296" s="36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37"/>
      <c r="Y296" s="38"/>
      <c r="Z296" s="39"/>
      <c r="AA296" s="39"/>
      <c r="AB296" s="9"/>
      <c r="AC296" s="9"/>
      <c r="AD296" s="9"/>
      <c r="AE296" s="9"/>
      <c r="AF296" s="9"/>
      <c r="AG296" s="40"/>
      <c r="AH296" s="10" t="str">
        <f aca="false">IF(C296="","",C296&amp;"|"&amp;D296&amp;"|"&amp;E296&amp;"|"&amp;H296&amp;"|"&amp;S296)</f>
        <v/>
      </c>
    </row>
    <row r="297" customFormat="false" ht="15" hidden="false" customHeight="false" outlineLevel="0" collapsed="false">
      <c r="A297" s="10" t="str">
        <f aca="false">IF(C297="","","DRN-"&amp;IFERROR(VLOOKUP(C297,Lists!$A$4:$B$21,2,0),"??")&amp;"-"&amp;TEXT(D297,"0000")&amp;"x"&amp;TEXT(E297,"0000")&amp;"-"&amp;IFERROR(VLOOKUP(H297,Lists!$D$4:$E$18,2,0),"??")&amp;"-"&amp;R297)</f>
        <v/>
      </c>
      <c r="B297" s="10" t="str">
        <f aca="false">IF(C297="","",C297&amp;" "&amp;D297&amp;"W x "&amp;E297&amp;"D, "&amp;H297&amp;", "&amp;I297)</f>
        <v/>
      </c>
      <c r="C297" s="9"/>
      <c r="D297" s="36"/>
      <c r="E297" s="36"/>
      <c r="F297" s="36"/>
      <c r="G297" s="36"/>
      <c r="H297" s="9"/>
      <c r="I297" s="9"/>
      <c r="J297" s="9"/>
      <c r="K297" s="9"/>
      <c r="L297" s="36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37"/>
      <c r="Y297" s="38"/>
      <c r="Z297" s="39"/>
      <c r="AA297" s="39"/>
      <c r="AB297" s="9"/>
      <c r="AC297" s="9"/>
      <c r="AD297" s="9"/>
      <c r="AE297" s="9"/>
      <c r="AF297" s="9"/>
      <c r="AG297" s="40"/>
      <c r="AH297" s="10" t="str">
        <f aca="false">IF(C297="","",C297&amp;"|"&amp;D297&amp;"|"&amp;E297&amp;"|"&amp;H297&amp;"|"&amp;S297)</f>
        <v/>
      </c>
    </row>
    <row r="298" customFormat="false" ht="15" hidden="false" customHeight="false" outlineLevel="0" collapsed="false">
      <c r="A298" s="10" t="str">
        <f aca="false">IF(C298="","","DRN-"&amp;IFERROR(VLOOKUP(C298,Lists!$A$4:$B$21,2,0),"??")&amp;"-"&amp;TEXT(D298,"0000")&amp;"x"&amp;TEXT(E298,"0000")&amp;"-"&amp;IFERROR(VLOOKUP(H298,Lists!$D$4:$E$18,2,0),"??")&amp;"-"&amp;R298)</f>
        <v/>
      </c>
      <c r="B298" s="10" t="str">
        <f aca="false">IF(C298="","",C298&amp;" "&amp;D298&amp;"W x "&amp;E298&amp;"D, "&amp;H298&amp;", "&amp;I298)</f>
        <v/>
      </c>
      <c r="C298" s="9"/>
      <c r="D298" s="36"/>
      <c r="E298" s="36"/>
      <c r="F298" s="36"/>
      <c r="G298" s="36"/>
      <c r="H298" s="9"/>
      <c r="I298" s="9"/>
      <c r="J298" s="9"/>
      <c r="K298" s="9"/>
      <c r="L298" s="36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37"/>
      <c r="Y298" s="38"/>
      <c r="Z298" s="39"/>
      <c r="AA298" s="39"/>
      <c r="AB298" s="9"/>
      <c r="AC298" s="9"/>
      <c r="AD298" s="9"/>
      <c r="AE298" s="9"/>
      <c r="AF298" s="9"/>
      <c r="AG298" s="40"/>
      <c r="AH298" s="10" t="str">
        <f aca="false">IF(C298="","",C298&amp;"|"&amp;D298&amp;"|"&amp;E298&amp;"|"&amp;H298&amp;"|"&amp;S298)</f>
        <v/>
      </c>
    </row>
    <row r="299" customFormat="false" ht="15" hidden="false" customHeight="false" outlineLevel="0" collapsed="false">
      <c r="A299" s="10" t="str">
        <f aca="false">IF(C299="","","DRN-"&amp;IFERROR(VLOOKUP(C299,Lists!$A$4:$B$21,2,0),"??")&amp;"-"&amp;TEXT(D299,"0000")&amp;"x"&amp;TEXT(E299,"0000")&amp;"-"&amp;IFERROR(VLOOKUP(H299,Lists!$D$4:$E$18,2,0),"??")&amp;"-"&amp;R299)</f>
        <v/>
      </c>
      <c r="B299" s="10" t="str">
        <f aca="false">IF(C299="","",C299&amp;" "&amp;D299&amp;"W x "&amp;E299&amp;"D, "&amp;H299&amp;", "&amp;I299)</f>
        <v/>
      </c>
      <c r="C299" s="9"/>
      <c r="D299" s="36"/>
      <c r="E299" s="36"/>
      <c r="F299" s="36"/>
      <c r="G299" s="36"/>
      <c r="H299" s="9"/>
      <c r="I299" s="9"/>
      <c r="J299" s="9"/>
      <c r="K299" s="9"/>
      <c r="L299" s="36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37"/>
      <c r="Y299" s="38"/>
      <c r="Z299" s="39"/>
      <c r="AA299" s="39"/>
      <c r="AB299" s="9"/>
      <c r="AC299" s="9"/>
      <c r="AD299" s="9"/>
      <c r="AE299" s="9"/>
      <c r="AF299" s="9"/>
      <c r="AG299" s="40"/>
      <c r="AH299" s="10" t="str">
        <f aca="false">IF(C299="","",C299&amp;"|"&amp;D299&amp;"|"&amp;E299&amp;"|"&amp;H299&amp;"|"&amp;S299)</f>
        <v/>
      </c>
    </row>
    <row r="300" customFormat="false" ht="15" hidden="false" customHeight="false" outlineLevel="0" collapsed="false">
      <c r="A300" s="10" t="str">
        <f aca="false">IF(C300="","","DRN-"&amp;IFERROR(VLOOKUP(C300,Lists!$A$4:$B$21,2,0),"??")&amp;"-"&amp;TEXT(D300,"0000")&amp;"x"&amp;TEXT(E300,"0000")&amp;"-"&amp;IFERROR(VLOOKUP(H300,Lists!$D$4:$E$18,2,0),"??")&amp;"-"&amp;R300)</f>
        <v/>
      </c>
      <c r="B300" s="10" t="str">
        <f aca="false">IF(C300="","",C300&amp;" "&amp;D300&amp;"W x "&amp;E300&amp;"D, "&amp;H300&amp;", "&amp;I300)</f>
        <v/>
      </c>
      <c r="C300" s="9"/>
      <c r="D300" s="36"/>
      <c r="E300" s="36"/>
      <c r="F300" s="36"/>
      <c r="G300" s="36"/>
      <c r="H300" s="9"/>
      <c r="I300" s="9"/>
      <c r="J300" s="9"/>
      <c r="K300" s="9"/>
      <c r="L300" s="36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37"/>
      <c r="Y300" s="38"/>
      <c r="Z300" s="39"/>
      <c r="AA300" s="39"/>
      <c r="AB300" s="9"/>
      <c r="AC300" s="9"/>
      <c r="AD300" s="9"/>
      <c r="AE300" s="9"/>
      <c r="AF300" s="9"/>
      <c r="AG300" s="40"/>
      <c r="AH300" s="10" t="str">
        <f aca="false">IF(C300="","",C300&amp;"|"&amp;D300&amp;"|"&amp;E300&amp;"|"&amp;H300&amp;"|"&amp;S300)</f>
        <v/>
      </c>
    </row>
    <row r="301" customFormat="false" ht="15" hidden="false" customHeight="false" outlineLevel="0" collapsed="false">
      <c r="A301" s="10" t="str">
        <f aca="false">IF(C301="","","DRN-"&amp;IFERROR(VLOOKUP(C301,Lists!$A$4:$B$21,2,0),"??")&amp;"-"&amp;TEXT(D301,"0000")&amp;"x"&amp;TEXT(E301,"0000")&amp;"-"&amp;IFERROR(VLOOKUP(H301,Lists!$D$4:$E$18,2,0),"??")&amp;"-"&amp;R301)</f>
        <v/>
      </c>
      <c r="B301" s="10" t="str">
        <f aca="false">IF(C301="","",C301&amp;" "&amp;D301&amp;"W x "&amp;E301&amp;"D, "&amp;H301&amp;", "&amp;I301)</f>
        <v/>
      </c>
      <c r="C301" s="9"/>
      <c r="D301" s="36"/>
      <c r="E301" s="36"/>
      <c r="F301" s="36"/>
      <c r="G301" s="36"/>
      <c r="H301" s="9"/>
      <c r="I301" s="9"/>
      <c r="J301" s="9"/>
      <c r="K301" s="9"/>
      <c r="L301" s="36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37"/>
      <c r="Y301" s="38"/>
      <c r="Z301" s="39"/>
      <c r="AA301" s="39"/>
      <c r="AB301" s="9"/>
      <c r="AC301" s="9"/>
      <c r="AD301" s="9"/>
      <c r="AE301" s="9"/>
      <c r="AF301" s="9"/>
      <c r="AG301" s="40"/>
      <c r="AH301" s="10" t="str">
        <f aca="false">IF(C301="","",C301&amp;"|"&amp;D301&amp;"|"&amp;E301&amp;"|"&amp;H301&amp;"|"&amp;S301)</f>
        <v/>
      </c>
    </row>
    <row r="302" customFormat="false" ht="15" hidden="false" customHeight="false" outlineLevel="0" collapsed="false">
      <c r="A302" s="10" t="str">
        <f aca="false">IF(C302="","","DRN-"&amp;IFERROR(VLOOKUP(C302,Lists!$A$4:$B$21,2,0),"??")&amp;"-"&amp;TEXT(D302,"0000")&amp;"x"&amp;TEXT(E302,"0000")&amp;"-"&amp;IFERROR(VLOOKUP(H302,Lists!$D$4:$E$18,2,0),"??")&amp;"-"&amp;R302)</f>
        <v/>
      </c>
      <c r="B302" s="10" t="str">
        <f aca="false">IF(C302="","",C302&amp;" "&amp;D302&amp;"W x "&amp;E302&amp;"D, "&amp;H302&amp;", "&amp;I302)</f>
        <v/>
      </c>
      <c r="C302" s="9"/>
      <c r="D302" s="36"/>
      <c r="E302" s="36"/>
      <c r="F302" s="36"/>
      <c r="G302" s="36"/>
      <c r="H302" s="9"/>
      <c r="I302" s="9"/>
      <c r="J302" s="9"/>
      <c r="K302" s="9"/>
      <c r="L302" s="36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37"/>
      <c r="Y302" s="38"/>
      <c r="Z302" s="39"/>
      <c r="AA302" s="39"/>
      <c r="AB302" s="9"/>
      <c r="AC302" s="9"/>
      <c r="AD302" s="9"/>
      <c r="AE302" s="9"/>
      <c r="AF302" s="9"/>
      <c r="AG302" s="40"/>
      <c r="AH302" s="10" t="str">
        <f aca="false">IF(C302="","",C302&amp;"|"&amp;D302&amp;"|"&amp;E302&amp;"|"&amp;H302&amp;"|"&amp;S302)</f>
        <v/>
      </c>
    </row>
    <row r="303" customFormat="false" ht="15" hidden="false" customHeight="false" outlineLevel="0" collapsed="false">
      <c r="A303" s="10" t="str">
        <f aca="false">IF(C303="","","DRN-"&amp;IFERROR(VLOOKUP(C303,Lists!$A$4:$B$21,2,0),"??")&amp;"-"&amp;TEXT(D303,"0000")&amp;"x"&amp;TEXT(E303,"0000")&amp;"-"&amp;IFERROR(VLOOKUP(H303,Lists!$D$4:$E$18,2,0),"??")&amp;"-"&amp;R303)</f>
        <v/>
      </c>
      <c r="B303" s="10" t="str">
        <f aca="false">IF(C303="","",C303&amp;" "&amp;D303&amp;"W x "&amp;E303&amp;"D, "&amp;H303&amp;", "&amp;I303)</f>
        <v/>
      </c>
      <c r="C303" s="9"/>
      <c r="D303" s="36"/>
      <c r="E303" s="36"/>
      <c r="F303" s="36"/>
      <c r="G303" s="36"/>
      <c r="H303" s="9"/>
      <c r="I303" s="9"/>
      <c r="J303" s="9"/>
      <c r="K303" s="9"/>
      <c r="L303" s="36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37"/>
      <c r="Y303" s="38"/>
      <c r="Z303" s="39"/>
      <c r="AA303" s="39"/>
      <c r="AB303" s="9"/>
      <c r="AC303" s="9"/>
      <c r="AD303" s="9"/>
      <c r="AE303" s="9"/>
      <c r="AF303" s="9"/>
      <c r="AG303" s="40"/>
      <c r="AH303" s="10" t="str">
        <f aca="false">IF(C303="","",C303&amp;"|"&amp;D303&amp;"|"&amp;E303&amp;"|"&amp;H303&amp;"|"&amp;S303)</f>
        <v/>
      </c>
    </row>
    <row r="304" customFormat="false" ht="15" hidden="false" customHeight="false" outlineLevel="0" collapsed="false">
      <c r="A304" s="10" t="str">
        <f aca="false">IF(C304="","","DRN-"&amp;IFERROR(VLOOKUP(C304,Lists!$A$4:$B$21,2,0),"??")&amp;"-"&amp;TEXT(D304,"0000")&amp;"x"&amp;TEXT(E304,"0000")&amp;"-"&amp;IFERROR(VLOOKUP(H304,Lists!$D$4:$E$18,2,0),"??")&amp;"-"&amp;R304)</f>
        <v/>
      </c>
      <c r="B304" s="10" t="str">
        <f aca="false">IF(C304="","",C304&amp;" "&amp;D304&amp;"W x "&amp;E304&amp;"D, "&amp;H304&amp;", "&amp;I304)</f>
        <v/>
      </c>
      <c r="C304" s="9"/>
      <c r="D304" s="36"/>
      <c r="E304" s="36"/>
      <c r="F304" s="36"/>
      <c r="G304" s="36"/>
      <c r="H304" s="9"/>
      <c r="I304" s="9"/>
      <c r="J304" s="9"/>
      <c r="K304" s="9"/>
      <c r="L304" s="36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37"/>
      <c r="Y304" s="38"/>
      <c r="Z304" s="39"/>
      <c r="AA304" s="39"/>
      <c r="AB304" s="9"/>
      <c r="AC304" s="9"/>
      <c r="AD304" s="9"/>
      <c r="AE304" s="9"/>
      <c r="AF304" s="9"/>
      <c r="AG304" s="40"/>
      <c r="AH304" s="10" t="str">
        <f aca="false">IF(C304="","",C304&amp;"|"&amp;D304&amp;"|"&amp;E304&amp;"|"&amp;H304&amp;"|"&amp;S304)</f>
        <v/>
      </c>
    </row>
  </sheetData>
  <dataValidations count="6">
    <dataValidation allowBlank="true" error="Pick a value from the list (add new values on the Lists sheet)." errorStyle="stop" errorTitle="Not in list" operator="between" showDropDown="false" showErrorMessage="false" showInputMessage="false" sqref="C5:C304" type="list">
      <formula1>Lists!$A$4:$A$21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H5:H304" type="list">
      <formula1>Lists!$D$4:$D$18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I5:I304" type="list">
      <formula1>Lists!$G$4:$G$16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J5:J304" type="list">
      <formula1>Lists!$J$4:$J$19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K5:K304" type="list">
      <formula1>Lists!$AE$4:$AE$20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S5:S304" type="list">
      <formula1>Lists!$P$4:$P$18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N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12" min="9" style="0" width="8"/>
    <col collapsed="false" customWidth="true" hidden="false" outlineLevel="0" max="15" min="13" style="0" width="7"/>
    <col collapsed="false" customWidth="true" hidden="false" outlineLevel="0" max="16" min="16" style="0" width="9"/>
    <col collapsed="false" customWidth="true" hidden="false" outlineLevel="0" max="17" min="17" style="0" width="7"/>
    <col collapsed="false" customWidth="true" hidden="false" outlineLevel="0" max="19" min="18" style="0" width="11"/>
    <col collapsed="false" customWidth="true" hidden="false" outlineLevel="0" max="20" min="20" style="0" width="7"/>
    <col collapsed="false" customWidth="true" hidden="false" outlineLevel="0" max="22" min="21" style="0" width="8"/>
    <col collapsed="false" customWidth="true" hidden="false" outlineLevel="0" max="23" min="23" style="0" width="22"/>
    <col collapsed="false" customWidth="true" hidden="false" outlineLevel="0" max="24" min="24" style="0" width="5"/>
    <col collapsed="false" customWidth="true" hidden="false" outlineLevel="0" max="25" min="25" style="0" width="11"/>
    <col collapsed="false" customWidth="true" hidden="false" outlineLevel="0" max="26" min="26" style="0" width="15"/>
    <col collapsed="false" customWidth="true" hidden="false" outlineLevel="0" max="29" min="27" style="0" width="34"/>
    <col collapsed="false" customWidth="true" hidden="false" outlineLevel="0" max="30" min="30" style="0" width="10"/>
    <col collapsed="false" customWidth="true" hidden="false" outlineLevel="0" max="31" min="31" style="0" width="9"/>
    <col collapsed="false" customWidth="true" hidden="false" outlineLevel="0" max="33" min="32" style="0" width="10"/>
    <col collapsed="false" customWidth="true" hidden="false" outlineLevel="0" max="34" min="34" style="0" width="34"/>
    <col collapsed="false" customWidth="true" hidden="false" outlineLevel="0" max="35" min="35" style="0" width="24"/>
    <col collapsed="false" customWidth="true" hidden="false" outlineLevel="0" max="37" min="36" style="0" width="10"/>
    <col collapsed="false" customWidth="true" hidden="false" outlineLevel="0" max="39" min="38" style="0" width="11"/>
    <col collapsed="false" customWidth="true" hidden="false" outlineLevel="0" max="40" min="40" style="0" width="34"/>
  </cols>
  <sheetData>
    <row r="1" customFormat="false" ht="17.35" hidden="false" customHeight="false" outlineLevel="0" collapsed="false">
      <c r="A1" s="5" t="s">
        <v>302</v>
      </c>
    </row>
    <row r="2" customFormat="false" ht="15" hidden="false" customHeight="false" outlineLevel="0" collapsed="false">
      <c r="A2" s="6" t="s">
        <v>303</v>
      </c>
    </row>
    <row r="3" customFormat="false" ht="15" hidden="false" customHeight="false" outlineLevel="0" collapsed="false">
      <c r="A3" s="6" t="s">
        <v>221</v>
      </c>
    </row>
    <row r="4" customFormat="false" ht="42" hidden="false" customHeight="true" outlineLevel="0" collapsed="false">
      <c r="A4" s="17" t="s">
        <v>77</v>
      </c>
      <c r="B4" s="17" t="s">
        <v>78</v>
      </c>
      <c r="C4" s="16" t="s">
        <v>60</v>
      </c>
      <c r="D4" s="16" t="s">
        <v>63</v>
      </c>
      <c r="E4" s="16" t="s">
        <v>65</v>
      </c>
      <c r="F4" s="16" t="s">
        <v>304</v>
      </c>
      <c r="G4" s="16" t="s">
        <v>305</v>
      </c>
      <c r="H4" s="16" t="s">
        <v>306</v>
      </c>
      <c r="I4" s="16" t="s">
        <v>307</v>
      </c>
      <c r="J4" s="16" t="s">
        <v>308</v>
      </c>
      <c r="K4" s="16" t="s">
        <v>309</v>
      </c>
      <c r="L4" s="16" t="s">
        <v>310</v>
      </c>
      <c r="M4" s="16" t="s">
        <v>311</v>
      </c>
      <c r="N4" s="16" t="s">
        <v>312</v>
      </c>
      <c r="O4" s="16" t="s">
        <v>225</v>
      </c>
      <c r="P4" s="16" t="s">
        <v>227</v>
      </c>
      <c r="Q4" s="16" t="s">
        <v>313</v>
      </c>
      <c r="R4" s="16" t="s">
        <v>314</v>
      </c>
      <c r="S4" s="16" t="s">
        <v>230</v>
      </c>
      <c r="T4" s="16" t="s">
        <v>315</v>
      </c>
      <c r="U4" s="16" t="s">
        <v>316</v>
      </c>
      <c r="V4" s="16" t="s">
        <v>317</v>
      </c>
      <c r="W4" s="16" t="s">
        <v>233</v>
      </c>
      <c r="X4" s="16" t="s">
        <v>79</v>
      </c>
      <c r="Y4" s="16" t="s">
        <v>100</v>
      </c>
      <c r="Z4" s="16" t="s">
        <v>80</v>
      </c>
      <c r="AA4" s="16" t="s">
        <v>234</v>
      </c>
      <c r="AB4" s="16" t="s">
        <v>235</v>
      </c>
      <c r="AC4" s="16" t="s">
        <v>236</v>
      </c>
      <c r="AD4" s="18" t="s">
        <v>86</v>
      </c>
      <c r="AE4" s="18" t="s">
        <v>87</v>
      </c>
      <c r="AF4" s="18" t="s">
        <v>237</v>
      </c>
      <c r="AG4" s="18" t="s">
        <v>238</v>
      </c>
      <c r="AH4" s="16" t="s">
        <v>239</v>
      </c>
      <c r="AI4" s="16" t="s">
        <v>240</v>
      </c>
      <c r="AJ4" s="16" t="s">
        <v>241</v>
      </c>
      <c r="AK4" s="16" t="s">
        <v>242</v>
      </c>
      <c r="AL4" s="16" t="s">
        <v>243</v>
      </c>
      <c r="AM4" s="16" t="s">
        <v>244</v>
      </c>
      <c r="AN4" s="17" t="s">
        <v>245</v>
      </c>
    </row>
    <row r="5" customFormat="false" ht="15" hidden="false" customHeight="false" outlineLevel="0" collapsed="false">
      <c r="A5" s="10" t="str">
        <f aca="false">IF(C5="","","RW-"&amp;IFERROR(VLOOKUP(C5,Lists!$M$4:$N$23,2,0),"??")&amp;"-H"&amp;TEXT(D5*1000,"0000")&amp;"-S"&amp;E5&amp;IF(F5="Y","-GW","")&amp;"-"&amp;X5)</f>
        <v>RW-LW-H1000-S10-A</v>
      </c>
      <c r="B5" s="10" t="str">
        <f aca="false">IF(C5="","",C5&amp;", H = "&amp;TEXT(D5,"0.0")&amp;" m, q = "&amp;E5&amp;" kPa"&amp;IF(F5="Y",", with GWT",""))</f>
        <v>L-Wall, H = 1.0 m, q = 10 kPa</v>
      </c>
      <c r="C5" s="19" t="s">
        <v>130</v>
      </c>
      <c r="D5" s="34" t="n">
        <v>1</v>
      </c>
      <c r="E5" s="31" t="n">
        <v>10</v>
      </c>
      <c r="F5" s="19" t="s">
        <v>69</v>
      </c>
      <c r="G5" s="19" t="s">
        <v>177</v>
      </c>
      <c r="H5" s="31" t="n">
        <v>26</v>
      </c>
      <c r="I5" s="33" t="n">
        <v>19</v>
      </c>
      <c r="J5" s="31" t="n">
        <v>200</v>
      </c>
      <c r="K5" s="31" t="n">
        <v>200</v>
      </c>
      <c r="L5" s="31" t="n">
        <v>1200</v>
      </c>
      <c r="M5" s="31" t="n">
        <v>0</v>
      </c>
      <c r="N5" s="31" t="n">
        <v>1000</v>
      </c>
      <c r="O5" s="31" t="n">
        <v>250</v>
      </c>
      <c r="P5" s="19" t="s">
        <v>200</v>
      </c>
      <c r="Q5" s="31" t="n">
        <v>50</v>
      </c>
      <c r="R5" s="19" t="s">
        <v>246</v>
      </c>
      <c r="S5" s="19" t="s">
        <v>246</v>
      </c>
      <c r="T5" s="34" t="n">
        <v>1.6</v>
      </c>
      <c r="U5" s="34" t="n">
        <v>2.4</v>
      </c>
      <c r="V5" s="31" t="n">
        <v>60</v>
      </c>
      <c r="W5" s="19" t="s">
        <v>318</v>
      </c>
      <c r="X5" s="19" t="s">
        <v>250</v>
      </c>
      <c r="Y5" s="19" t="s">
        <v>148</v>
      </c>
      <c r="Z5" s="19" t="s">
        <v>319</v>
      </c>
      <c r="AA5" s="19" t="s">
        <v>320</v>
      </c>
      <c r="AB5" s="19" t="s">
        <v>321</v>
      </c>
      <c r="AC5" s="19" t="s">
        <v>322</v>
      </c>
      <c r="AD5" s="32" t="n">
        <v>0.5</v>
      </c>
      <c r="AE5" s="33" t="n">
        <v>35</v>
      </c>
      <c r="AF5" s="34" t="n">
        <v>2.5</v>
      </c>
      <c r="AG5" s="34" t="n">
        <v>1.8</v>
      </c>
      <c r="AH5" s="19" t="s">
        <v>262</v>
      </c>
      <c r="AI5" s="19"/>
      <c r="AJ5" s="19" t="s">
        <v>256</v>
      </c>
      <c r="AK5" s="19" t="s">
        <v>256</v>
      </c>
      <c r="AL5" s="19" t="s">
        <v>256</v>
      </c>
      <c r="AM5" s="35" t="n">
        <v>46309</v>
      </c>
      <c r="AN5" s="10" t="str">
        <f aca="false">IF(C5="","",C5&amp;"|"&amp;D5&amp;"|"&amp;E5&amp;"|"&amp;F5&amp;"|"&amp;Y5)</f>
        <v>L-Wall|1|10|N|Approved</v>
      </c>
    </row>
    <row r="6" customFormat="false" ht="15" hidden="false" customHeight="false" outlineLevel="0" collapsed="false">
      <c r="A6" s="10" t="str">
        <f aca="false">IF(C6="","","RW-"&amp;IFERROR(VLOOKUP(C6,Lists!$M$4:$N$23,2,0),"??")&amp;"-H"&amp;TEXT(D6*1000,"0000")&amp;"-S"&amp;E6&amp;IF(F6="Y","-GW","")&amp;"-"&amp;X6)</f>
        <v>RW-CANT-H1500-S10-A</v>
      </c>
      <c r="B6" s="10" t="str">
        <f aca="false">IF(C6="","",C6&amp;", H = "&amp;TEXT(D6,"0.0")&amp;" m, q = "&amp;E6&amp;" kPa"&amp;IF(F6="Y",", with GWT",""))</f>
        <v>Cantilever RC, H = 1.5 m, q = 10 kPa</v>
      </c>
      <c r="C6" s="19" t="s">
        <v>61</v>
      </c>
      <c r="D6" s="34" t="n">
        <v>1.5</v>
      </c>
      <c r="E6" s="31" t="n">
        <v>10</v>
      </c>
      <c r="F6" s="19" t="s">
        <v>69</v>
      </c>
      <c r="G6" s="19" t="s">
        <v>177</v>
      </c>
      <c r="H6" s="31" t="n">
        <v>26</v>
      </c>
      <c r="I6" s="33" t="n">
        <v>19</v>
      </c>
      <c r="J6" s="31" t="n">
        <v>200</v>
      </c>
      <c r="K6" s="31" t="n">
        <v>250</v>
      </c>
      <c r="L6" s="31" t="n">
        <v>1500</v>
      </c>
      <c r="M6" s="31" t="n">
        <v>400</v>
      </c>
      <c r="N6" s="31" t="n">
        <v>850</v>
      </c>
      <c r="O6" s="31" t="n">
        <v>300</v>
      </c>
      <c r="P6" s="19" t="s">
        <v>200</v>
      </c>
      <c r="Q6" s="31" t="n">
        <v>50</v>
      </c>
      <c r="R6" s="19" t="s">
        <v>272</v>
      </c>
      <c r="S6" s="19" t="s">
        <v>272</v>
      </c>
      <c r="T6" s="34" t="n">
        <v>1.6</v>
      </c>
      <c r="U6" s="34" t="n">
        <v>2.3</v>
      </c>
      <c r="V6" s="31" t="n">
        <v>75</v>
      </c>
      <c r="W6" s="19" t="s">
        <v>318</v>
      </c>
      <c r="X6" s="19" t="s">
        <v>250</v>
      </c>
      <c r="Y6" s="19" t="s">
        <v>148</v>
      </c>
      <c r="Z6" s="19" t="s">
        <v>323</v>
      </c>
      <c r="AA6" s="19" t="s">
        <v>324</v>
      </c>
      <c r="AB6" s="19" t="s">
        <v>325</v>
      </c>
      <c r="AC6" s="19" t="s">
        <v>326</v>
      </c>
      <c r="AD6" s="32" t="n">
        <v>0.85</v>
      </c>
      <c r="AE6" s="33" t="n">
        <v>62</v>
      </c>
      <c r="AF6" s="34" t="n">
        <v>3.6</v>
      </c>
      <c r="AG6" s="34" t="n">
        <v>2.6</v>
      </c>
      <c r="AH6" s="19" t="s">
        <v>262</v>
      </c>
      <c r="AI6" s="19"/>
      <c r="AJ6" s="19" t="s">
        <v>256</v>
      </c>
      <c r="AK6" s="19" t="s">
        <v>256</v>
      </c>
      <c r="AL6" s="19" t="s">
        <v>256</v>
      </c>
      <c r="AM6" s="35" t="n">
        <v>46309</v>
      </c>
      <c r="AN6" s="10" t="str">
        <f aca="false">IF(C6="","",C6&amp;"|"&amp;D6&amp;"|"&amp;E6&amp;"|"&amp;F6&amp;"|"&amp;Y6)</f>
        <v>Cantilever RC|1.5|10|N|Approved</v>
      </c>
    </row>
    <row r="7" customFormat="false" ht="15" hidden="false" customHeight="false" outlineLevel="0" collapsed="false">
      <c r="A7" s="10" t="str">
        <f aca="false">IF(C7="","","RW-"&amp;IFERROR(VLOOKUP(C7,Lists!$M$4:$N$23,2,0),"??")&amp;"-H"&amp;TEXT(D7*1000,"0000")&amp;"-S"&amp;E7&amp;IF(F7="Y","-GW","")&amp;"-"&amp;X7)</f>
        <v>RW-CANT-H2000-S10-A</v>
      </c>
      <c r="B7" s="10" t="str">
        <f aca="false">IF(C7="","",C7&amp;", H = "&amp;TEXT(D7,"0.0")&amp;" m, q = "&amp;E7&amp;" kPa"&amp;IF(F7="Y",", with GWT",""))</f>
        <v>Cantilever RC, H = 2.0 m, q = 10 kPa</v>
      </c>
      <c r="C7" s="19" t="s">
        <v>61</v>
      </c>
      <c r="D7" s="34" t="n">
        <v>2</v>
      </c>
      <c r="E7" s="31" t="n">
        <v>10</v>
      </c>
      <c r="F7" s="19" t="s">
        <v>69</v>
      </c>
      <c r="G7" s="19" t="s">
        <v>177</v>
      </c>
      <c r="H7" s="31" t="n">
        <v>26</v>
      </c>
      <c r="I7" s="33" t="n">
        <v>19</v>
      </c>
      <c r="J7" s="31" t="n">
        <v>200</v>
      </c>
      <c r="K7" s="31" t="n">
        <v>300</v>
      </c>
      <c r="L7" s="31" t="n">
        <v>1900</v>
      </c>
      <c r="M7" s="31" t="n">
        <v>500</v>
      </c>
      <c r="N7" s="31" t="n">
        <v>1100</v>
      </c>
      <c r="O7" s="31" t="n">
        <v>350</v>
      </c>
      <c r="P7" s="19" t="s">
        <v>200</v>
      </c>
      <c r="Q7" s="31" t="n">
        <v>50</v>
      </c>
      <c r="R7" s="19" t="s">
        <v>263</v>
      </c>
      <c r="S7" s="19" t="s">
        <v>263</v>
      </c>
      <c r="T7" s="34" t="n">
        <v>1.5</v>
      </c>
      <c r="U7" s="34" t="n">
        <v>2.2</v>
      </c>
      <c r="V7" s="31" t="n">
        <v>90</v>
      </c>
      <c r="W7" s="19" t="s">
        <v>318</v>
      </c>
      <c r="X7" s="19" t="s">
        <v>250</v>
      </c>
      <c r="Y7" s="19" t="s">
        <v>148</v>
      </c>
      <c r="Z7" s="19" t="s">
        <v>327</v>
      </c>
      <c r="AA7" s="19" t="s">
        <v>328</v>
      </c>
      <c r="AB7" s="19" t="s">
        <v>329</v>
      </c>
      <c r="AC7" s="19" t="s">
        <v>330</v>
      </c>
      <c r="AD7" s="32" t="n">
        <v>1.2</v>
      </c>
      <c r="AE7" s="33" t="n">
        <v>88</v>
      </c>
      <c r="AF7" s="34" t="n">
        <v>4.7</v>
      </c>
      <c r="AG7" s="34" t="n">
        <v>3.5</v>
      </c>
      <c r="AH7" s="19" t="s">
        <v>262</v>
      </c>
      <c r="AI7" s="19"/>
      <c r="AJ7" s="19" t="s">
        <v>256</v>
      </c>
      <c r="AK7" s="19" t="s">
        <v>256</v>
      </c>
      <c r="AL7" s="19" t="s">
        <v>256</v>
      </c>
      <c r="AM7" s="35" t="n">
        <v>46309</v>
      </c>
      <c r="AN7" s="10" t="str">
        <f aca="false">IF(C7="","",C7&amp;"|"&amp;D7&amp;"|"&amp;E7&amp;"|"&amp;F7&amp;"|"&amp;Y7)</f>
        <v>Cantilever RC|2|10|N|Approved</v>
      </c>
    </row>
    <row r="8" customFormat="false" ht="15" hidden="false" customHeight="false" outlineLevel="0" collapsed="false">
      <c r="A8" s="10" t="str">
        <f aca="false">IF(C8="","","RW-"&amp;IFERROR(VLOOKUP(C8,Lists!$M$4:$N$23,2,0),"??")&amp;"-H"&amp;TEXT(D8*1000,"0000")&amp;"-S"&amp;E8&amp;IF(F8="Y","-GW","")&amp;"-"&amp;X8)</f>
        <v>RW-CANT-H2500-S10-A</v>
      </c>
      <c r="B8" s="10" t="str">
        <f aca="false">IF(C8="","",C8&amp;", H = "&amp;TEXT(D8,"0.0")&amp;" m, q = "&amp;E8&amp;" kPa"&amp;IF(F8="Y",", with GWT",""))</f>
        <v>Cantilever RC, H = 2.5 m, q = 10 kPa</v>
      </c>
      <c r="C8" s="19" t="s">
        <v>61</v>
      </c>
      <c r="D8" s="34" t="n">
        <v>2.5</v>
      </c>
      <c r="E8" s="31" t="n">
        <v>10</v>
      </c>
      <c r="F8" s="19" t="s">
        <v>69</v>
      </c>
      <c r="G8" s="19" t="s">
        <v>177</v>
      </c>
      <c r="H8" s="31" t="n">
        <v>26</v>
      </c>
      <c r="I8" s="33" t="n">
        <v>19</v>
      </c>
      <c r="J8" s="31" t="n">
        <v>200</v>
      </c>
      <c r="K8" s="31" t="n">
        <v>350</v>
      </c>
      <c r="L8" s="31" t="n">
        <v>2300</v>
      </c>
      <c r="M8" s="31" t="n">
        <v>600</v>
      </c>
      <c r="N8" s="31" t="n">
        <v>1350</v>
      </c>
      <c r="O8" s="31" t="n">
        <v>400</v>
      </c>
      <c r="P8" s="19" t="s">
        <v>200</v>
      </c>
      <c r="Q8" s="31" t="n">
        <v>50</v>
      </c>
      <c r="R8" s="19" t="s">
        <v>277</v>
      </c>
      <c r="S8" s="19" t="s">
        <v>277</v>
      </c>
      <c r="T8" s="34" t="n">
        <v>1.5</v>
      </c>
      <c r="U8" s="34" t="n">
        <v>2.1</v>
      </c>
      <c r="V8" s="31" t="n">
        <v>105</v>
      </c>
      <c r="W8" s="19" t="s">
        <v>318</v>
      </c>
      <c r="X8" s="19" t="s">
        <v>250</v>
      </c>
      <c r="Y8" s="19" t="s">
        <v>148</v>
      </c>
      <c r="Z8" s="19" t="s">
        <v>331</v>
      </c>
      <c r="AA8" s="19" t="s">
        <v>332</v>
      </c>
      <c r="AB8" s="19" t="s">
        <v>333</v>
      </c>
      <c r="AC8" s="19" t="s">
        <v>334</v>
      </c>
      <c r="AD8" s="32" t="n">
        <v>1.62</v>
      </c>
      <c r="AE8" s="33" t="n">
        <v>120</v>
      </c>
      <c r="AF8" s="34" t="n">
        <v>5.8</v>
      </c>
      <c r="AG8" s="34" t="n">
        <v>4.4</v>
      </c>
      <c r="AH8" s="19" t="s">
        <v>262</v>
      </c>
      <c r="AI8" s="19"/>
      <c r="AJ8" s="19" t="s">
        <v>256</v>
      </c>
      <c r="AK8" s="19" t="s">
        <v>256</v>
      </c>
      <c r="AL8" s="19" t="s">
        <v>256</v>
      </c>
      <c r="AM8" s="35" t="n">
        <v>46309</v>
      </c>
      <c r="AN8" s="10" t="str">
        <f aca="false">IF(C8="","",C8&amp;"|"&amp;D8&amp;"|"&amp;E8&amp;"|"&amp;F8&amp;"|"&amp;Y8)</f>
        <v>Cantilever RC|2.5|10|N|Approved</v>
      </c>
    </row>
    <row r="9" customFormat="false" ht="15" hidden="false" customHeight="false" outlineLevel="0" collapsed="false">
      <c r="A9" s="10" t="str">
        <f aca="false">IF(C9="","","RW-"&amp;IFERROR(VLOOKUP(C9,Lists!$M$4:$N$23,2,0),"??")&amp;"-H"&amp;TEXT(D9*1000,"0000")&amp;"-S"&amp;E9&amp;IF(F9="Y","-GW","")&amp;"-"&amp;X9)</f>
        <v>RW-CANT-H3000-S10-A</v>
      </c>
      <c r="B9" s="10" t="str">
        <f aca="false">IF(C9="","",C9&amp;", H = "&amp;TEXT(D9,"0.0")&amp;" m, q = "&amp;E9&amp;" kPa"&amp;IF(F9="Y",", with GWT",""))</f>
        <v>Cantilever RC, H = 3.0 m, q = 10 kPa</v>
      </c>
      <c r="C9" s="19" t="s">
        <v>61</v>
      </c>
      <c r="D9" s="34" t="n">
        <v>3</v>
      </c>
      <c r="E9" s="31" t="n">
        <v>10</v>
      </c>
      <c r="F9" s="19" t="s">
        <v>69</v>
      </c>
      <c r="G9" s="19" t="s">
        <v>177</v>
      </c>
      <c r="H9" s="31" t="n">
        <v>26</v>
      </c>
      <c r="I9" s="33" t="n">
        <v>19</v>
      </c>
      <c r="J9" s="31" t="n">
        <v>200</v>
      </c>
      <c r="K9" s="31" t="n">
        <v>400</v>
      </c>
      <c r="L9" s="31" t="n">
        <v>2700</v>
      </c>
      <c r="M9" s="31" t="n">
        <v>700</v>
      </c>
      <c r="N9" s="31" t="n">
        <v>1600</v>
      </c>
      <c r="O9" s="31" t="n">
        <v>450</v>
      </c>
      <c r="P9" s="19" t="s">
        <v>200</v>
      </c>
      <c r="Q9" s="31" t="n">
        <v>50</v>
      </c>
      <c r="R9" s="19" t="s">
        <v>335</v>
      </c>
      <c r="S9" s="19" t="s">
        <v>277</v>
      </c>
      <c r="T9" s="34" t="n">
        <v>1.5</v>
      </c>
      <c r="U9" s="34" t="n">
        <v>2</v>
      </c>
      <c r="V9" s="31" t="n">
        <v>120</v>
      </c>
      <c r="W9" s="19" t="s">
        <v>318</v>
      </c>
      <c r="X9" s="19" t="s">
        <v>250</v>
      </c>
      <c r="Y9" s="19" t="s">
        <v>148</v>
      </c>
      <c r="Z9" s="19" t="s">
        <v>336</v>
      </c>
      <c r="AA9" s="19" t="s">
        <v>337</v>
      </c>
      <c r="AB9" s="19" t="s">
        <v>338</v>
      </c>
      <c r="AC9" s="19" t="s">
        <v>339</v>
      </c>
      <c r="AD9" s="32" t="n">
        <v>2.08</v>
      </c>
      <c r="AE9" s="33" t="n">
        <v>160</v>
      </c>
      <c r="AF9" s="34" t="n">
        <v>6.9</v>
      </c>
      <c r="AG9" s="34" t="n">
        <v>5.4</v>
      </c>
      <c r="AH9" s="19" t="s">
        <v>262</v>
      </c>
      <c r="AI9" s="19"/>
      <c r="AJ9" s="19" t="s">
        <v>256</v>
      </c>
      <c r="AK9" s="19" t="s">
        <v>256</v>
      </c>
      <c r="AL9" s="19" t="s">
        <v>256</v>
      </c>
      <c r="AM9" s="35" t="n">
        <v>46309</v>
      </c>
      <c r="AN9" s="10" t="str">
        <f aca="false">IF(C9="","",C9&amp;"|"&amp;D9&amp;"|"&amp;E9&amp;"|"&amp;F9&amp;"|"&amp;Y9)</f>
        <v>Cantilever RC|3|10|N|Approved</v>
      </c>
    </row>
    <row r="10" customFormat="false" ht="15" hidden="false" customHeight="false" outlineLevel="0" collapsed="false">
      <c r="A10" s="10" t="str">
        <f aca="false">IF(C10="","","RW-"&amp;IFERROR(VLOOKUP(C10,Lists!$M$4:$N$23,2,0),"??")&amp;"-H"&amp;TEXT(D10*1000,"0000")&amp;"-S"&amp;E10&amp;IF(F10="Y","-GW","")&amp;"-"&amp;X10)</f>
        <v>RW-CANT-H3500-S10-A</v>
      </c>
      <c r="B10" s="10" t="str">
        <f aca="false">IF(C10="","",C10&amp;", H = "&amp;TEXT(D10,"0.0")&amp;" m, q = "&amp;E10&amp;" kPa"&amp;IF(F10="Y",", with GWT",""))</f>
        <v>Cantilever RC, H = 3.5 m, q = 10 kPa</v>
      </c>
      <c r="C10" s="19" t="s">
        <v>61</v>
      </c>
      <c r="D10" s="34" t="n">
        <v>3.5</v>
      </c>
      <c r="E10" s="31" t="n">
        <v>10</v>
      </c>
      <c r="F10" s="19" t="s">
        <v>69</v>
      </c>
      <c r="G10" s="19" t="s">
        <v>177</v>
      </c>
      <c r="H10" s="31" t="n">
        <v>26</v>
      </c>
      <c r="I10" s="33" t="n">
        <v>19</v>
      </c>
      <c r="J10" s="31" t="n">
        <v>250</v>
      </c>
      <c r="K10" s="31" t="n">
        <v>450</v>
      </c>
      <c r="L10" s="31" t="n">
        <v>3100</v>
      </c>
      <c r="M10" s="31" t="n">
        <v>800</v>
      </c>
      <c r="N10" s="31" t="n">
        <v>1850</v>
      </c>
      <c r="O10" s="31" t="n">
        <v>500</v>
      </c>
      <c r="P10" s="19" t="s">
        <v>200</v>
      </c>
      <c r="Q10" s="31" t="n">
        <v>50</v>
      </c>
      <c r="R10" s="19" t="s">
        <v>283</v>
      </c>
      <c r="S10" s="19" t="s">
        <v>335</v>
      </c>
      <c r="T10" s="34" t="n">
        <v>1.5</v>
      </c>
      <c r="U10" s="34" t="n">
        <v>2</v>
      </c>
      <c r="V10" s="31" t="n">
        <v>135</v>
      </c>
      <c r="W10" s="19" t="s">
        <v>318</v>
      </c>
      <c r="X10" s="19" t="s">
        <v>250</v>
      </c>
      <c r="Y10" s="19" t="s">
        <v>148</v>
      </c>
      <c r="Z10" s="19" t="s">
        <v>340</v>
      </c>
      <c r="AA10" s="19" t="s">
        <v>341</v>
      </c>
      <c r="AB10" s="19" t="s">
        <v>342</v>
      </c>
      <c r="AC10" s="19" t="s">
        <v>343</v>
      </c>
      <c r="AD10" s="32" t="n">
        <v>2.65</v>
      </c>
      <c r="AE10" s="33" t="n">
        <v>210</v>
      </c>
      <c r="AF10" s="34" t="n">
        <v>8</v>
      </c>
      <c r="AG10" s="34" t="n">
        <v>6.6</v>
      </c>
      <c r="AH10" s="19" t="s">
        <v>262</v>
      </c>
      <c r="AI10" s="19"/>
      <c r="AJ10" s="19" t="s">
        <v>256</v>
      </c>
      <c r="AK10" s="19" t="s">
        <v>256</v>
      </c>
      <c r="AL10" s="19" t="s">
        <v>256</v>
      </c>
      <c r="AM10" s="35" t="n">
        <v>46309</v>
      </c>
      <c r="AN10" s="10" t="str">
        <f aca="false">IF(C10="","",C10&amp;"|"&amp;D10&amp;"|"&amp;E10&amp;"|"&amp;F10&amp;"|"&amp;Y10)</f>
        <v>Cantilever RC|3.5|10|N|Approved</v>
      </c>
    </row>
    <row r="11" customFormat="false" ht="15" hidden="false" customHeight="false" outlineLevel="0" collapsed="false">
      <c r="A11" s="10" t="str">
        <f aca="false">IF(C11="","","RW-"&amp;IFERROR(VLOOKUP(C11,Lists!$M$4:$N$23,2,0),"??")&amp;"-H"&amp;TEXT(D11*1000,"0000")&amp;"-S"&amp;E11&amp;IF(F11="Y","-GW","")&amp;"-"&amp;X11)</f>
        <v>RW-CANT-H3000-S20-GW-A</v>
      </c>
      <c r="B11" s="10" t="str">
        <f aca="false">IF(C11="","",C11&amp;", H = "&amp;TEXT(D11,"0.0")&amp;" m, q = "&amp;E11&amp;" kPa"&amp;IF(F11="Y",", with GWT",""))</f>
        <v>Cantilever RC, H = 3.0 m, q = 20 kPa, with GWT</v>
      </c>
      <c r="C11" s="19" t="s">
        <v>61</v>
      </c>
      <c r="D11" s="34" t="n">
        <v>3</v>
      </c>
      <c r="E11" s="31" t="n">
        <v>20</v>
      </c>
      <c r="F11" s="19" t="s">
        <v>165</v>
      </c>
      <c r="G11" s="19" t="s">
        <v>177</v>
      </c>
      <c r="H11" s="31" t="n">
        <v>26</v>
      </c>
      <c r="I11" s="33" t="n">
        <v>19</v>
      </c>
      <c r="J11" s="31" t="n">
        <v>250</v>
      </c>
      <c r="K11" s="31" t="n">
        <v>450</v>
      </c>
      <c r="L11" s="31" t="n">
        <v>3200</v>
      </c>
      <c r="M11" s="31" t="n">
        <v>800</v>
      </c>
      <c r="N11" s="31" t="n">
        <v>1950</v>
      </c>
      <c r="O11" s="31" t="n">
        <v>500</v>
      </c>
      <c r="P11" s="19" t="s">
        <v>200</v>
      </c>
      <c r="Q11" s="31" t="n">
        <v>50</v>
      </c>
      <c r="R11" s="19" t="s">
        <v>283</v>
      </c>
      <c r="S11" s="19" t="s">
        <v>283</v>
      </c>
      <c r="T11" s="34" t="n">
        <v>1.5</v>
      </c>
      <c r="U11" s="34" t="n">
        <v>2</v>
      </c>
      <c r="V11" s="31" t="n">
        <v>140</v>
      </c>
      <c r="W11" s="19" t="s">
        <v>318</v>
      </c>
      <c r="X11" s="19" t="s">
        <v>250</v>
      </c>
      <c r="Y11" s="19" t="s">
        <v>148</v>
      </c>
      <c r="Z11" s="19" t="s">
        <v>344</v>
      </c>
      <c r="AA11" s="19" t="s">
        <v>345</v>
      </c>
      <c r="AB11" s="19" t="s">
        <v>346</v>
      </c>
      <c r="AC11" s="19" t="s">
        <v>347</v>
      </c>
      <c r="AD11" s="32" t="n">
        <v>2.55</v>
      </c>
      <c r="AE11" s="33" t="n">
        <v>205</v>
      </c>
      <c r="AF11" s="34" t="n">
        <v>7.1</v>
      </c>
      <c r="AG11" s="34" t="n">
        <v>6.3</v>
      </c>
      <c r="AH11" s="19" t="s">
        <v>348</v>
      </c>
      <c r="AI11" s="19"/>
      <c r="AJ11" s="19" t="s">
        <v>256</v>
      </c>
      <c r="AK11" s="19" t="s">
        <v>256</v>
      </c>
      <c r="AL11" s="19" t="s">
        <v>256</v>
      </c>
      <c r="AM11" s="35" t="n">
        <v>46309</v>
      </c>
      <c r="AN11" s="10" t="str">
        <f aca="false">IF(C11="","",C11&amp;"|"&amp;D11&amp;"|"&amp;E11&amp;"|"&amp;F11&amp;"|"&amp;Y11)</f>
        <v>Cantilever RC|3|20|Y|Approved</v>
      </c>
    </row>
    <row r="12" customFormat="false" ht="15" hidden="false" customHeight="false" outlineLevel="0" collapsed="false">
      <c r="A12" s="10" t="str">
        <f aca="false">IF(C12="","","RW-"&amp;IFERROR(VLOOKUP(C12,Lists!$M$4:$N$23,2,0),"??")&amp;"-H"&amp;TEXT(D12*1000,"0000")&amp;"-S"&amp;E12&amp;IF(F12="Y","-GW","")&amp;"-"&amp;X12)</f>
        <v>RW-CANT-H4500-S10-A</v>
      </c>
      <c r="B12" s="10" t="str">
        <f aca="false">IF(C12="","",C12&amp;", H = "&amp;TEXT(D12,"0.0")&amp;" m, q = "&amp;E12&amp;" kPa"&amp;IF(F12="Y",", with GWT",""))</f>
        <v>Cantilever RC, H = 4.5 m, q = 10 kPa</v>
      </c>
      <c r="C12" s="19" t="s">
        <v>61</v>
      </c>
      <c r="D12" s="34" t="n">
        <v>4.5</v>
      </c>
      <c r="E12" s="31" t="n">
        <v>10</v>
      </c>
      <c r="F12" s="19" t="s">
        <v>69</v>
      </c>
      <c r="G12" s="19" t="s">
        <v>177</v>
      </c>
      <c r="H12" s="31" t="n">
        <v>26</v>
      </c>
      <c r="I12" s="33" t="n">
        <v>19</v>
      </c>
      <c r="J12" s="31" t="n">
        <v>250</v>
      </c>
      <c r="K12" s="31" t="n">
        <v>550</v>
      </c>
      <c r="L12" s="31" t="n">
        <v>3900</v>
      </c>
      <c r="M12" s="31" t="n">
        <v>1000</v>
      </c>
      <c r="N12" s="31" t="n">
        <v>2350</v>
      </c>
      <c r="O12" s="31" t="n">
        <v>600</v>
      </c>
      <c r="P12" s="19" t="s">
        <v>200</v>
      </c>
      <c r="Q12" s="31" t="n">
        <v>50</v>
      </c>
      <c r="R12" s="19" t="s">
        <v>349</v>
      </c>
      <c r="S12" s="19" t="s">
        <v>350</v>
      </c>
      <c r="T12" s="34" t="n">
        <v>1.5</v>
      </c>
      <c r="U12" s="34" t="n">
        <v>2</v>
      </c>
      <c r="V12" s="31" t="n">
        <v>165</v>
      </c>
      <c r="W12" s="19" t="s">
        <v>318</v>
      </c>
      <c r="X12" s="19" t="s">
        <v>250</v>
      </c>
      <c r="Y12" s="19" t="s">
        <v>147</v>
      </c>
      <c r="Z12" s="19" t="s">
        <v>351</v>
      </c>
      <c r="AA12" s="19" t="s">
        <v>352</v>
      </c>
      <c r="AB12" s="19" t="s">
        <v>353</v>
      </c>
      <c r="AC12" s="19" t="s">
        <v>354</v>
      </c>
      <c r="AD12" s="32" t="n">
        <v>3.9</v>
      </c>
      <c r="AE12" s="33" t="n">
        <v>330</v>
      </c>
      <c r="AF12" s="34" t="n">
        <v>10.2</v>
      </c>
      <c r="AG12" s="34" t="n">
        <v>9</v>
      </c>
      <c r="AH12" s="19" t="s">
        <v>289</v>
      </c>
      <c r="AI12" s="19"/>
      <c r="AJ12" s="19" t="s">
        <v>256</v>
      </c>
      <c r="AK12" s="19" t="s">
        <v>256</v>
      </c>
      <c r="AL12" s="19" t="s">
        <v>256</v>
      </c>
      <c r="AM12" s="35" t="n">
        <v>46309</v>
      </c>
      <c r="AN12" s="10" t="str">
        <f aca="false">IF(C12="","",C12&amp;"|"&amp;D12&amp;"|"&amp;E12&amp;"|"&amp;F12&amp;"|"&amp;Y12)</f>
        <v>Cantilever RC|4.5|10|N|Checked</v>
      </c>
    </row>
    <row r="13" customFormat="false" ht="15" hidden="false" customHeight="false" outlineLevel="0" collapsed="false">
      <c r="A13" s="10" t="str">
        <f aca="false">IF(C13="","","RW-"&amp;IFERROR(VLOOKUP(C13,Lists!$M$4:$N$23,2,0),"??")&amp;"-H"&amp;TEXT(D13*1000,"0000")&amp;"-S"&amp;E13&amp;IF(F13="Y","-GW","")&amp;"-"&amp;X13)</f>
        <v>RW-GRAV-H1500-S5-A</v>
      </c>
      <c r="B13" s="10" t="str">
        <f aca="false">IF(C13="","",C13&amp;", H = "&amp;TEXT(D13,"0.0")&amp;" m, q = "&amp;E13&amp;" kPa"&amp;IF(F13="Y",", with GWT",""))</f>
        <v>Gravity, H = 1.5 m, q = 5 kPa</v>
      </c>
      <c r="C13" s="19" t="s">
        <v>131</v>
      </c>
      <c r="D13" s="34" t="n">
        <v>1.5</v>
      </c>
      <c r="E13" s="31" t="n">
        <v>5</v>
      </c>
      <c r="F13" s="19" t="s">
        <v>69</v>
      </c>
      <c r="G13" s="19" t="s">
        <v>197</v>
      </c>
      <c r="H13" s="31" t="n">
        <v>32</v>
      </c>
      <c r="I13" s="33" t="n">
        <v>19</v>
      </c>
      <c r="J13" s="31" t="n">
        <v>400</v>
      </c>
      <c r="K13" s="31" t="n">
        <v>700</v>
      </c>
      <c r="L13" s="31" t="n">
        <v>1100</v>
      </c>
      <c r="M13" s="31" t="n">
        <v>0</v>
      </c>
      <c r="N13" s="31" t="n">
        <v>0</v>
      </c>
      <c r="O13" s="31" t="n">
        <v>0</v>
      </c>
      <c r="P13" s="19" t="s">
        <v>200</v>
      </c>
      <c r="Q13" s="31" t="n">
        <v>50</v>
      </c>
      <c r="R13" s="19" t="s">
        <v>296</v>
      </c>
      <c r="S13" s="19" t="s">
        <v>296</v>
      </c>
      <c r="T13" s="34" t="n">
        <v>1.6</v>
      </c>
      <c r="U13" s="34" t="n">
        <v>2.5</v>
      </c>
      <c r="V13" s="31" t="n">
        <v>80</v>
      </c>
      <c r="W13" s="19" t="s">
        <v>318</v>
      </c>
      <c r="X13" s="19" t="s">
        <v>250</v>
      </c>
      <c r="Y13" s="19" t="s">
        <v>148</v>
      </c>
      <c r="Z13" s="19" t="s">
        <v>355</v>
      </c>
      <c r="AA13" s="19" t="s">
        <v>356</v>
      </c>
      <c r="AB13" s="19" t="s">
        <v>357</v>
      </c>
      <c r="AC13" s="19" t="s">
        <v>358</v>
      </c>
      <c r="AD13" s="32" t="n">
        <v>0.95</v>
      </c>
      <c r="AE13" s="33" t="n">
        <v>0</v>
      </c>
      <c r="AF13" s="34" t="n">
        <v>3.2</v>
      </c>
      <c r="AG13" s="34" t="n">
        <v>1.9</v>
      </c>
      <c r="AH13" s="19" t="s">
        <v>359</v>
      </c>
      <c r="AI13" s="19"/>
      <c r="AJ13" s="19" t="s">
        <v>256</v>
      </c>
      <c r="AK13" s="19" t="s">
        <v>256</v>
      </c>
      <c r="AL13" s="19" t="s">
        <v>256</v>
      </c>
      <c r="AM13" s="35" t="n">
        <v>46309</v>
      </c>
      <c r="AN13" s="10" t="str">
        <f aca="false">IF(C13="","",C13&amp;"|"&amp;D13&amp;"|"&amp;E13&amp;"|"&amp;F13&amp;"|"&amp;Y13)</f>
        <v>Gravity|1.5|5|N|Approved</v>
      </c>
    </row>
    <row r="14" customFormat="false" ht="15" hidden="false" customHeight="false" outlineLevel="0" collapsed="false">
      <c r="A14" s="10" t="str">
        <f aca="false">IF(C14="","","RW-"&amp;IFERROR(VLOOKUP(C14,Lists!$M$4:$N$23,2,0),"??")&amp;"-H"&amp;TEXT(D14*1000,"0000")&amp;"-S"&amp;E14&amp;IF(F14="Y","-GW","")&amp;"-"&amp;X14)</f>
        <v/>
      </c>
      <c r="B14" s="10" t="str">
        <f aca="false">IF(C14="","",C14&amp;", H = "&amp;TEXT(D14,"0.0")&amp;" m, q = "&amp;E14&amp;" kPa"&amp;IF(F14="Y",", with GWT",""))</f>
        <v/>
      </c>
      <c r="C14" s="9"/>
      <c r="D14" s="39"/>
      <c r="E14" s="36"/>
      <c r="F14" s="9"/>
      <c r="G14" s="9"/>
      <c r="H14" s="36"/>
      <c r="I14" s="38"/>
      <c r="J14" s="36"/>
      <c r="K14" s="36"/>
      <c r="L14" s="36"/>
      <c r="M14" s="36"/>
      <c r="N14" s="36"/>
      <c r="O14" s="36"/>
      <c r="P14" s="9"/>
      <c r="Q14" s="36"/>
      <c r="R14" s="9"/>
      <c r="S14" s="9"/>
      <c r="T14" s="39"/>
      <c r="U14" s="39"/>
      <c r="V14" s="36"/>
      <c r="W14" s="9"/>
      <c r="X14" s="9"/>
      <c r="Y14" s="9"/>
      <c r="Z14" s="9"/>
      <c r="AA14" s="9"/>
      <c r="AB14" s="9"/>
      <c r="AC14" s="9"/>
      <c r="AD14" s="37"/>
      <c r="AE14" s="38"/>
      <c r="AF14" s="39"/>
      <c r="AG14" s="39"/>
      <c r="AH14" s="9"/>
      <c r="AI14" s="9"/>
      <c r="AJ14" s="9"/>
      <c r="AK14" s="9"/>
      <c r="AL14" s="9"/>
      <c r="AM14" s="40"/>
      <c r="AN14" s="10" t="str">
        <f aca="false">IF(C14="","",C14&amp;"|"&amp;D14&amp;"|"&amp;E14&amp;"|"&amp;F14&amp;"|"&amp;Y14)</f>
        <v/>
      </c>
    </row>
    <row r="15" customFormat="false" ht="15" hidden="false" customHeight="false" outlineLevel="0" collapsed="false">
      <c r="A15" s="10" t="str">
        <f aca="false">IF(C15="","","RW-"&amp;IFERROR(VLOOKUP(C15,Lists!$M$4:$N$23,2,0),"??")&amp;"-H"&amp;TEXT(D15*1000,"0000")&amp;"-S"&amp;E15&amp;IF(F15="Y","-GW","")&amp;"-"&amp;X15)</f>
        <v/>
      </c>
      <c r="B15" s="10" t="str">
        <f aca="false">IF(C15="","",C15&amp;", H = "&amp;TEXT(D15,"0.0")&amp;" m, q = "&amp;E15&amp;" kPa"&amp;IF(F15="Y",", with GWT",""))</f>
        <v/>
      </c>
      <c r="C15" s="9"/>
      <c r="D15" s="39"/>
      <c r="E15" s="36"/>
      <c r="F15" s="9"/>
      <c r="G15" s="9"/>
      <c r="H15" s="36"/>
      <c r="I15" s="38"/>
      <c r="J15" s="36"/>
      <c r="K15" s="36"/>
      <c r="L15" s="36"/>
      <c r="M15" s="36"/>
      <c r="N15" s="36"/>
      <c r="O15" s="36"/>
      <c r="P15" s="9"/>
      <c r="Q15" s="36"/>
      <c r="R15" s="9"/>
      <c r="S15" s="9"/>
      <c r="T15" s="39"/>
      <c r="U15" s="39"/>
      <c r="V15" s="36"/>
      <c r="W15" s="9"/>
      <c r="X15" s="9"/>
      <c r="Y15" s="9"/>
      <c r="Z15" s="9"/>
      <c r="AA15" s="9"/>
      <c r="AB15" s="9"/>
      <c r="AC15" s="9"/>
      <c r="AD15" s="37"/>
      <c r="AE15" s="38"/>
      <c r="AF15" s="39"/>
      <c r="AG15" s="39"/>
      <c r="AH15" s="9"/>
      <c r="AI15" s="9"/>
      <c r="AJ15" s="9"/>
      <c r="AK15" s="9"/>
      <c r="AL15" s="9"/>
      <c r="AM15" s="40"/>
      <c r="AN15" s="10" t="str">
        <f aca="false">IF(C15="","",C15&amp;"|"&amp;D15&amp;"|"&amp;E15&amp;"|"&amp;F15&amp;"|"&amp;Y15)</f>
        <v/>
      </c>
    </row>
    <row r="16" customFormat="false" ht="15" hidden="false" customHeight="false" outlineLevel="0" collapsed="false">
      <c r="A16" s="10" t="str">
        <f aca="false">IF(C16="","","RW-"&amp;IFERROR(VLOOKUP(C16,Lists!$M$4:$N$23,2,0),"??")&amp;"-H"&amp;TEXT(D16*1000,"0000")&amp;"-S"&amp;E16&amp;IF(F16="Y","-GW","")&amp;"-"&amp;X16)</f>
        <v/>
      </c>
      <c r="B16" s="10" t="str">
        <f aca="false">IF(C16="","",C16&amp;", H = "&amp;TEXT(D16,"0.0")&amp;" m, q = "&amp;E16&amp;" kPa"&amp;IF(F16="Y",", with GWT",""))</f>
        <v/>
      </c>
      <c r="C16" s="9"/>
      <c r="D16" s="39"/>
      <c r="E16" s="36"/>
      <c r="F16" s="9"/>
      <c r="G16" s="9"/>
      <c r="H16" s="36"/>
      <c r="I16" s="38"/>
      <c r="J16" s="36"/>
      <c r="K16" s="36"/>
      <c r="L16" s="36"/>
      <c r="M16" s="36"/>
      <c r="N16" s="36"/>
      <c r="O16" s="36"/>
      <c r="P16" s="9"/>
      <c r="Q16" s="36"/>
      <c r="R16" s="9"/>
      <c r="S16" s="9"/>
      <c r="T16" s="39"/>
      <c r="U16" s="39"/>
      <c r="V16" s="36"/>
      <c r="W16" s="9"/>
      <c r="X16" s="9"/>
      <c r="Y16" s="9"/>
      <c r="Z16" s="9"/>
      <c r="AA16" s="9"/>
      <c r="AB16" s="9"/>
      <c r="AC16" s="9"/>
      <c r="AD16" s="37"/>
      <c r="AE16" s="38"/>
      <c r="AF16" s="39"/>
      <c r="AG16" s="39"/>
      <c r="AH16" s="9"/>
      <c r="AI16" s="9"/>
      <c r="AJ16" s="9"/>
      <c r="AK16" s="9"/>
      <c r="AL16" s="9"/>
      <c r="AM16" s="40"/>
      <c r="AN16" s="10" t="str">
        <f aca="false">IF(C16="","",C16&amp;"|"&amp;D16&amp;"|"&amp;E16&amp;"|"&amp;F16&amp;"|"&amp;Y16)</f>
        <v/>
      </c>
    </row>
    <row r="17" customFormat="false" ht="15" hidden="false" customHeight="false" outlineLevel="0" collapsed="false">
      <c r="A17" s="10" t="str">
        <f aca="false">IF(C17="","","RW-"&amp;IFERROR(VLOOKUP(C17,Lists!$M$4:$N$23,2,0),"??")&amp;"-H"&amp;TEXT(D17*1000,"0000")&amp;"-S"&amp;E17&amp;IF(F17="Y","-GW","")&amp;"-"&amp;X17)</f>
        <v/>
      </c>
      <c r="B17" s="10" t="str">
        <f aca="false">IF(C17="","",C17&amp;", H = "&amp;TEXT(D17,"0.0")&amp;" m, q = "&amp;E17&amp;" kPa"&amp;IF(F17="Y",", with GWT",""))</f>
        <v/>
      </c>
      <c r="C17" s="9"/>
      <c r="D17" s="39"/>
      <c r="E17" s="36"/>
      <c r="F17" s="9"/>
      <c r="G17" s="9"/>
      <c r="H17" s="36"/>
      <c r="I17" s="38"/>
      <c r="J17" s="36"/>
      <c r="K17" s="36"/>
      <c r="L17" s="36"/>
      <c r="M17" s="36"/>
      <c r="N17" s="36"/>
      <c r="O17" s="36"/>
      <c r="P17" s="9"/>
      <c r="Q17" s="36"/>
      <c r="R17" s="9"/>
      <c r="S17" s="9"/>
      <c r="T17" s="39"/>
      <c r="U17" s="39"/>
      <c r="V17" s="36"/>
      <c r="W17" s="9"/>
      <c r="X17" s="9"/>
      <c r="Y17" s="9"/>
      <c r="Z17" s="9"/>
      <c r="AA17" s="9"/>
      <c r="AB17" s="9"/>
      <c r="AC17" s="9"/>
      <c r="AD17" s="37"/>
      <c r="AE17" s="38"/>
      <c r="AF17" s="39"/>
      <c r="AG17" s="39"/>
      <c r="AH17" s="9"/>
      <c r="AI17" s="9"/>
      <c r="AJ17" s="9"/>
      <c r="AK17" s="9"/>
      <c r="AL17" s="9"/>
      <c r="AM17" s="40"/>
      <c r="AN17" s="10" t="str">
        <f aca="false">IF(C17="","",C17&amp;"|"&amp;D17&amp;"|"&amp;E17&amp;"|"&amp;F17&amp;"|"&amp;Y17)</f>
        <v/>
      </c>
    </row>
    <row r="18" customFormat="false" ht="15" hidden="false" customHeight="false" outlineLevel="0" collapsed="false">
      <c r="A18" s="10" t="str">
        <f aca="false">IF(C18="","","RW-"&amp;IFERROR(VLOOKUP(C18,Lists!$M$4:$N$23,2,0),"??")&amp;"-H"&amp;TEXT(D18*1000,"0000")&amp;"-S"&amp;E18&amp;IF(F18="Y","-GW","")&amp;"-"&amp;X18)</f>
        <v/>
      </c>
      <c r="B18" s="10" t="str">
        <f aca="false">IF(C18="","",C18&amp;", H = "&amp;TEXT(D18,"0.0")&amp;" m, q = "&amp;E18&amp;" kPa"&amp;IF(F18="Y",", with GWT",""))</f>
        <v/>
      </c>
      <c r="C18" s="9"/>
      <c r="D18" s="39"/>
      <c r="E18" s="36"/>
      <c r="F18" s="9"/>
      <c r="G18" s="9"/>
      <c r="H18" s="36"/>
      <c r="I18" s="38"/>
      <c r="J18" s="36"/>
      <c r="K18" s="36"/>
      <c r="L18" s="36"/>
      <c r="M18" s="36"/>
      <c r="N18" s="36"/>
      <c r="O18" s="36"/>
      <c r="P18" s="9"/>
      <c r="Q18" s="36"/>
      <c r="R18" s="9"/>
      <c r="S18" s="9"/>
      <c r="T18" s="39"/>
      <c r="U18" s="39"/>
      <c r="V18" s="36"/>
      <c r="W18" s="9"/>
      <c r="X18" s="9"/>
      <c r="Y18" s="9"/>
      <c r="Z18" s="9"/>
      <c r="AA18" s="9"/>
      <c r="AB18" s="9"/>
      <c r="AC18" s="9"/>
      <c r="AD18" s="37"/>
      <c r="AE18" s="38"/>
      <c r="AF18" s="39"/>
      <c r="AG18" s="39"/>
      <c r="AH18" s="9"/>
      <c r="AI18" s="9"/>
      <c r="AJ18" s="9"/>
      <c r="AK18" s="9"/>
      <c r="AL18" s="9"/>
      <c r="AM18" s="40"/>
      <c r="AN18" s="10" t="str">
        <f aca="false">IF(C18="","",C18&amp;"|"&amp;D18&amp;"|"&amp;E18&amp;"|"&amp;F18&amp;"|"&amp;Y18)</f>
        <v/>
      </c>
    </row>
    <row r="19" customFormat="false" ht="15" hidden="false" customHeight="false" outlineLevel="0" collapsed="false">
      <c r="A19" s="10" t="str">
        <f aca="false">IF(C19="","","RW-"&amp;IFERROR(VLOOKUP(C19,Lists!$M$4:$N$23,2,0),"??")&amp;"-H"&amp;TEXT(D19*1000,"0000")&amp;"-S"&amp;E19&amp;IF(F19="Y","-GW","")&amp;"-"&amp;X19)</f>
        <v/>
      </c>
      <c r="B19" s="10" t="str">
        <f aca="false">IF(C19="","",C19&amp;", H = "&amp;TEXT(D19,"0.0")&amp;" m, q = "&amp;E19&amp;" kPa"&amp;IF(F19="Y",", with GWT",""))</f>
        <v/>
      </c>
      <c r="C19" s="9"/>
      <c r="D19" s="39"/>
      <c r="E19" s="36"/>
      <c r="F19" s="9"/>
      <c r="G19" s="9"/>
      <c r="H19" s="36"/>
      <c r="I19" s="38"/>
      <c r="J19" s="36"/>
      <c r="K19" s="36"/>
      <c r="L19" s="36"/>
      <c r="M19" s="36"/>
      <c r="N19" s="36"/>
      <c r="O19" s="36"/>
      <c r="P19" s="9"/>
      <c r="Q19" s="36"/>
      <c r="R19" s="9"/>
      <c r="S19" s="9"/>
      <c r="T19" s="39"/>
      <c r="U19" s="39"/>
      <c r="V19" s="36"/>
      <c r="W19" s="9"/>
      <c r="X19" s="9"/>
      <c r="Y19" s="9"/>
      <c r="Z19" s="9"/>
      <c r="AA19" s="9"/>
      <c r="AB19" s="9"/>
      <c r="AC19" s="9"/>
      <c r="AD19" s="37"/>
      <c r="AE19" s="38"/>
      <c r="AF19" s="39"/>
      <c r="AG19" s="39"/>
      <c r="AH19" s="9"/>
      <c r="AI19" s="9"/>
      <c r="AJ19" s="9"/>
      <c r="AK19" s="9"/>
      <c r="AL19" s="9"/>
      <c r="AM19" s="40"/>
      <c r="AN19" s="10" t="str">
        <f aca="false">IF(C19="","",C19&amp;"|"&amp;D19&amp;"|"&amp;E19&amp;"|"&amp;F19&amp;"|"&amp;Y19)</f>
        <v/>
      </c>
    </row>
    <row r="20" customFormat="false" ht="15" hidden="false" customHeight="false" outlineLevel="0" collapsed="false">
      <c r="A20" s="10" t="str">
        <f aca="false">IF(C20="","","RW-"&amp;IFERROR(VLOOKUP(C20,Lists!$M$4:$N$23,2,0),"??")&amp;"-H"&amp;TEXT(D20*1000,"0000")&amp;"-S"&amp;E20&amp;IF(F20="Y","-GW","")&amp;"-"&amp;X20)</f>
        <v/>
      </c>
      <c r="B20" s="10" t="str">
        <f aca="false">IF(C20="","",C20&amp;", H = "&amp;TEXT(D20,"0.0")&amp;" m, q = "&amp;E20&amp;" kPa"&amp;IF(F20="Y",", with GWT",""))</f>
        <v/>
      </c>
      <c r="C20" s="9"/>
      <c r="D20" s="39"/>
      <c r="E20" s="36"/>
      <c r="F20" s="9"/>
      <c r="G20" s="9"/>
      <c r="H20" s="36"/>
      <c r="I20" s="38"/>
      <c r="J20" s="36"/>
      <c r="K20" s="36"/>
      <c r="L20" s="36"/>
      <c r="M20" s="36"/>
      <c r="N20" s="36"/>
      <c r="O20" s="36"/>
      <c r="P20" s="9"/>
      <c r="Q20" s="36"/>
      <c r="R20" s="9"/>
      <c r="S20" s="9"/>
      <c r="T20" s="39"/>
      <c r="U20" s="39"/>
      <c r="V20" s="36"/>
      <c r="W20" s="9"/>
      <c r="X20" s="9"/>
      <c r="Y20" s="9"/>
      <c r="Z20" s="9"/>
      <c r="AA20" s="9"/>
      <c r="AB20" s="9"/>
      <c r="AC20" s="9"/>
      <c r="AD20" s="37"/>
      <c r="AE20" s="38"/>
      <c r="AF20" s="39"/>
      <c r="AG20" s="39"/>
      <c r="AH20" s="9"/>
      <c r="AI20" s="9"/>
      <c r="AJ20" s="9"/>
      <c r="AK20" s="9"/>
      <c r="AL20" s="9"/>
      <c r="AM20" s="40"/>
      <c r="AN20" s="10" t="str">
        <f aca="false">IF(C20="","",C20&amp;"|"&amp;D20&amp;"|"&amp;E20&amp;"|"&amp;F20&amp;"|"&amp;Y20)</f>
        <v/>
      </c>
    </row>
    <row r="21" customFormat="false" ht="15" hidden="false" customHeight="false" outlineLevel="0" collapsed="false">
      <c r="A21" s="10" t="str">
        <f aca="false">IF(C21="","","RW-"&amp;IFERROR(VLOOKUP(C21,Lists!$M$4:$N$23,2,0),"??")&amp;"-H"&amp;TEXT(D21*1000,"0000")&amp;"-S"&amp;E21&amp;IF(F21="Y","-GW","")&amp;"-"&amp;X21)</f>
        <v/>
      </c>
      <c r="B21" s="10" t="str">
        <f aca="false">IF(C21="","",C21&amp;", H = "&amp;TEXT(D21,"0.0")&amp;" m, q = "&amp;E21&amp;" kPa"&amp;IF(F21="Y",", with GWT",""))</f>
        <v/>
      </c>
      <c r="C21" s="9"/>
      <c r="D21" s="39"/>
      <c r="E21" s="36"/>
      <c r="F21" s="9"/>
      <c r="G21" s="9"/>
      <c r="H21" s="36"/>
      <c r="I21" s="38"/>
      <c r="J21" s="36"/>
      <c r="K21" s="36"/>
      <c r="L21" s="36"/>
      <c r="M21" s="36"/>
      <c r="N21" s="36"/>
      <c r="O21" s="36"/>
      <c r="P21" s="9"/>
      <c r="Q21" s="36"/>
      <c r="R21" s="9"/>
      <c r="S21" s="9"/>
      <c r="T21" s="39"/>
      <c r="U21" s="39"/>
      <c r="V21" s="36"/>
      <c r="W21" s="9"/>
      <c r="X21" s="9"/>
      <c r="Y21" s="9"/>
      <c r="Z21" s="9"/>
      <c r="AA21" s="9"/>
      <c r="AB21" s="9"/>
      <c r="AC21" s="9"/>
      <c r="AD21" s="37"/>
      <c r="AE21" s="38"/>
      <c r="AF21" s="39"/>
      <c r="AG21" s="39"/>
      <c r="AH21" s="9"/>
      <c r="AI21" s="9"/>
      <c r="AJ21" s="9"/>
      <c r="AK21" s="9"/>
      <c r="AL21" s="9"/>
      <c r="AM21" s="40"/>
      <c r="AN21" s="10" t="str">
        <f aca="false">IF(C21="","",C21&amp;"|"&amp;D21&amp;"|"&amp;E21&amp;"|"&amp;F21&amp;"|"&amp;Y21)</f>
        <v/>
      </c>
    </row>
    <row r="22" customFormat="false" ht="15" hidden="false" customHeight="false" outlineLevel="0" collapsed="false">
      <c r="A22" s="10" t="str">
        <f aca="false">IF(C22="","","RW-"&amp;IFERROR(VLOOKUP(C22,Lists!$M$4:$N$23,2,0),"??")&amp;"-H"&amp;TEXT(D22*1000,"0000")&amp;"-S"&amp;E22&amp;IF(F22="Y","-GW","")&amp;"-"&amp;X22)</f>
        <v/>
      </c>
      <c r="B22" s="10" t="str">
        <f aca="false">IF(C22="","",C22&amp;", H = "&amp;TEXT(D22,"0.0")&amp;" m, q = "&amp;E22&amp;" kPa"&amp;IF(F22="Y",", with GWT",""))</f>
        <v/>
      </c>
      <c r="C22" s="9"/>
      <c r="D22" s="39"/>
      <c r="E22" s="36"/>
      <c r="F22" s="9"/>
      <c r="G22" s="9"/>
      <c r="H22" s="36"/>
      <c r="I22" s="38"/>
      <c r="J22" s="36"/>
      <c r="K22" s="36"/>
      <c r="L22" s="36"/>
      <c r="M22" s="36"/>
      <c r="N22" s="36"/>
      <c r="O22" s="36"/>
      <c r="P22" s="9"/>
      <c r="Q22" s="36"/>
      <c r="R22" s="9"/>
      <c r="S22" s="9"/>
      <c r="T22" s="39"/>
      <c r="U22" s="39"/>
      <c r="V22" s="36"/>
      <c r="W22" s="9"/>
      <c r="X22" s="9"/>
      <c r="Y22" s="9"/>
      <c r="Z22" s="9"/>
      <c r="AA22" s="9"/>
      <c r="AB22" s="9"/>
      <c r="AC22" s="9"/>
      <c r="AD22" s="37"/>
      <c r="AE22" s="38"/>
      <c r="AF22" s="39"/>
      <c r="AG22" s="39"/>
      <c r="AH22" s="9"/>
      <c r="AI22" s="9"/>
      <c r="AJ22" s="9"/>
      <c r="AK22" s="9"/>
      <c r="AL22" s="9"/>
      <c r="AM22" s="40"/>
      <c r="AN22" s="10" t="str">
        <f aca="false">IF(C22="","",C22&amp;"|"&amp;D22&amp;"|"&amp;E22&amp;"|"&amp;F22&amp;"|"&amp;Y22)</f>
        <v/>
      </c>
    </row>
    <row r="23" customFormat="false" ht="15" hidden="false" customHeight="false" outlineLevel="0" collapsed="false">
      <c r="A23" s="10" t="str">
        <f aca="false">IF(C23="","","RW-"&amp;IFERROR(VLOOKUP(C23,Lists!$M$4:$N$23,2,0),"??")&amp;"-H"&amp;TEXT(D23*1000,"0000")&amp;"-S"&amp;E23&amp;IF(F23="Y","-GW","")&amp;"-"&amp;X23)</f>
        <v/>
      </c>
      <c r="B23" s="10" t="str">
        <f aca="false">IF(C23="","",C23&amp;", H = "&amp;TEXT(D23,"0.0")&amp;" m, q = "&amp;E23&amp;" kPa"&amp;IF(F23="Y",", with GWT",""))</f>
        <v/>
      </c>
      <c r="C23" s="9"/>
      <c r="D23" s="39"/>
      <c r="E23" s="36"/>
      <c r="F23" s="9"/>
      <c r="G23" s="9"/>
      <c r="H23" s="36"/>
      <c r="I23" s="38"/>
      <c r="J23" s="36"/>
      <c r="K23" s="36"/>
      <c r="L23" s="36"/>
      <c r="M23" s="36"/>
      <c r="N23" s="36"/>
      <c r="O23" s="36"/>
      <c r="P23" s="9"/>
      <c r="Q23" s="36"/>
      <c r="R23" s="9"/>
      <c r="S23" s="9"/>
      <c r="T23" s="39"/>
      <c r="U23" s="39"/>
      <c r="V23" s="36"/>
      <c r="W23" s="9"/>
      <c r="X23" s="9"/>
      <c r="Y23" s="9"/>
      <c r="Z23" s="9"/>
      <c r="AA23" s="9"/>
      <c r="AB23" s="9"/>
      <c r="AC23" s="9"/>
      <c r="AD23" s="37"/>
      <c r="AE23" s="38"/>
      <c r="AF23" s="39"/>
      <c r="AG23" s="39"/>
      <c r="AH23" s="9"/>
      <c r="AI23" s="9"/>
      <c r="AJ23" s="9"/>
      <c r="AK23" s="9"/>
      <c r="AL23" s="9"/>
      <c r="AM23" s="40"/>
      <c r="AN23" s="10" t="str">
        <f aca="false">IF(C23="","",C23&amp;"|"&amp;D23&amp;"|"&amp;E23&amp;"|"&amp;F23&amp;"|"&amp;Y23)</f>
        <v/>
      </c>
    </row>
    <row r="24" customFormat="false" ht="15" hidden="false" customHeight="false" outlineLevel="0" collapsed="false">
      <c r="A24" s="10" t="str">
        <f aca="false">IF(C24="","","RW-"&amp;IFERROR(VLOOKUP(C24,Lists!$M$4:$N$23,2,0),"??")&amp;"-H"&amp;TEXT(D24*1000,"0000")&amp;"-S"&amp;E24&amp;IF(F24="Y","-GW","")&amp;"-"&amp;X24)</f>
        <v/>
      </c>
      <c r="B24" s="10" t="str">
        <f aca="false">IF(C24="","",C24&amp;", H = "&amp;TEXT(D24,"0.0")&amp;" m, q = "&amp;E24&amp;" kPa"&amp;IF(F24="Y",", with GWT",""))</f>
        <v/>
      </c>
      <c r="C24" s="9"/>
      <c r="D24" s="39"/>
      <c r="E24" s="36"/>
      <c r="F24" s="9"/>
      <c r="G24" s="9"/>
      <c r="H24" s="36"/>
      <c r="I24" s="38"/>
      <c r="J24" s="36"/>
      <c r="K24" s="36"/>
      <c r="L24" s="36"/>
      <c r="M24" s="36"/>
      <c r="N24" s="36"/>
      <c r="O24" s="36"/>
      <c r="P24" s="9"/>
      <c r="Q24" s="36"/>
      <c r="R24" s="9"/>
      <c r="S24" s="9"/>
      <c r="T24" s="39"/>
      <c r="U24" s="39"/>
      <c r="V24" s="36"/>
      <c r="W24" s="9"/>
      <c r="X24" s="9"/>
      <c r="Y24" s="9"/>
      <c r="Z24" s="9"/>
      <c r="AA24" s="9"/>
      <c r="AB24" s="9"/>
      <c r="AC24" s="9"/>
      <c r="AD24" s="37"/>
      <c r="AE24" s="38"/>
      <c r="AF24" s="39"/>
      <c r="AG24" s="39"/>
      <c r="AH24" s="9"/>
      <c r="AI24" s="9"/>
      <c r="AJ24" s="9"/>
      <c r="AK24" s="9"/>
      <c r="AL24" s="9"/>
      <c r="AM24" s="40"/>
      <c r="AN24" s="10" t="str">
        <f aca="false">IF(C24="","",C24&amp;"|"&amp;D24&amp;"|"&amp;E24&amp;"|"&amp;F24&amp;"|"&amp;Y24)</f>
        <v/>
      </c>
    </row>
    <row r="25" customFormat="false" ht="15" hidden="false" customHeight="false" outlineLevel="0" collapsed="false">
      <c r="A25" s="10" t="str">
        <f aca="false">IF(C25="","","RW-"&amp;IFERROR(VLOOKUP(C25,Lists!$M$4:$N$23,2,0),"??")&amp;"-H"&amp;TEXT(D25*1000,"0000")&amp;"-S"&amp;E25&amp;IF(F25="Y","-GW","")&amp;"-"&amp;X25)</f>
        <v/>
      </c>
      <c r="B25" s="10" t="str">
        <f aca="false">IF(C25="","",C25&amp;", H = "&amp;TEXT(D25,"0.0")&amp;" m, q = "&amp;E25&amp;" kPa"&amp;IF(F25="Y",", with GWT",""))</f>
        <v/>
      </c>
      <c r="C25" s="9"/>
      <c r="D25" s="39"/>
      <c r="E25" s="36"/>
      <c r="F25" s="9"/>
      <c r="G25" s="9"/>
      <c r="H25" s="36"/>
      <c r="I25" s="38"/>
      <c r="J25" s="36"/>
      <c r="K25" s="36"/>
      <c r="L25" s="36"/>
      <c r="M25" s="36"/>
      <c r="N25" s="36"/>
      <c r="O25" s="36"/>
      <c r="P25" s="9"/>
      <c r="Q25" s="36"/>
      <c r="R25" s="9"/>
      <c r="S25" s="9"/>
      <c r="T25" s="39"/>
      <c r="U25" s="39"/>
      <c r="V25" s="36"/>
      <c r="W25" s="9"/>
      <c r="X25" s="9"/>
      <c r="Y25" s="9"/>
      <c r="Z25" s="9"/>
      <c r="AA25" s="9"/>
      <c r="AB25" s="9"/>
      <c r="AC25" s="9"/>
      <c r="AD25" s="37"/>
      <c r="AE25" s="38"/>
      <c r="AF25" s="39"/>
      <c r="AG25" s="39"/>
      <c r="AH25" s="9"/>
      <c r="AI25" s="9"/>
      <c r="AJ25" s="9"/>
      <c r="AK25" s="9"/>
      <c r="AL25" s="9"/>
      <c r="AM25" s="40"/>
      <c r="AN25" s="10" t="str">
        <f aca="false">IF(C25="","",C25&amp;"|"&amp;D25&amp;"|"&amp;E25&amp;"|"&amp;F25&amp;"|"&amp;Y25)</f>
        <v/>
      </c>
    </row>
    <row r="26" customFormat="false" ht="15" hidden="false" customHeight="false" outlineLevel="0" collapsed="false">
      <c r="A26" s="10" t="str">
        <f aca="false">IF(C26="","","RW-"&amp;IFERROR(VLOOKUP(C26,Lists!$M$4:$N$23,2,0),"??")&amp;"-H"&amp;TEXT(D26*1000,"0000")&amp;"-S"&amp;E26&amp;IF(F26="Y","-GW","")&amp;"-"&amp;X26)</f>
        <v/>
      </c>
      <c r="B26" s="10" t="str">
        <f aca="false">IF(C26="","",C26&amp;", H = "&amp;TEXT(D26,"0.0")&amp;" m, q = "&amp;E26&amp;" kPa"&amp;IF(F26="Y",", with GWT",""))</f>
        <v/>
      </c>
      <c r="C26" s="9"/>
      <c r="D26" s="39"/>
      <c r="E26" s="36"/>
      <c r="F26" s="9"/>
      <c r="G26" s="9"/>
      <c r="H26" s="36"/>
      <c r="I26" s="38"/>
      <c r="J26" s="36"/>
      <c r="K26" s="36"/>
      <c r="L26" s="36"/>
      <c r="M26" s="36"/>
      <c r="N26" s="36"/>
      <c r="O26" s="36"/>
      <c r="P26" s="9"/>
      <c r="Q26" s="36"/>
      <c r="R26" s="9"/>
      <c r="S26" s="9"/>
      <c r="T26" s="39"/>
      <c r="U26" s="39"/>
      <c r="V26" s="36"/>
      <c r="W26" s="9"/>
      <c r="X26" s="9"/>
      <c r="Y26" s="9"/>
      <c r="Z26" s="9"/>
      <c r="AA26" s="9"/>
      <c r="AB26" s="9"/>
      <c r="AC26" s="9"/>
      <c r="AD26" s="37"/>
      <c r="AE26" s="38"/>
      <c r="AF26" s="39"/>
      <c r="AG26" s="39"/>
      <c r="AH26" s="9"/>
      <c r="AI26" s="9"/>
      <c r="AJ26" s="9"/>
      <c r="AK26" s="9"/>
      <c r="AL26" s="9"/>
      <c r="AM26" s="40"/>
      <c r="AN26" s="10" t="str">
        <f aca="false">IF(C26="","",C26&amp;"|"&amp;D26&amp;"|"&amp;E26&amp;"|"&amp;F26&amp;"|"&amp;Y26)</f>
        <v/>
      </c>
    </row>
    <row r="27" customFormat="false" ht="15" hidden="false" customHeight="false" outlineLevel="0" collapsed="false">
      <c r="A27" s="10" t="str">
        <f aca="false">IF(C27="","","RW-"&amp;IFERROR(VLOOKUP(C27,Lists!$M$4:$N$23,2,0),"??")&amp;"-H"&amp;TEXT(D27*1000,"0000")&amp;"-S"&amp;E27&amp;IF(F27="Y","-GW","")&amp;"-"&amp;X27)</f>
        <v/>
      </c>
      <c r="B27" s="10" t="str">
        <f aca="false">IF(C27="","",C27&amp;", H = "&amp;TEXT(D27,"0.0")&amp;" m, q = "&amp;E27&amp;" kPa"&amp;IF(F27="Y",", with GWT",""))</f>
        <v/>
      </c>
      <c r="C27" s="9"/>
      <c r="D27" s="39"/>
      <c r="E27" s="36"/>
      <c r="F27" s="9"/>
      <c r="G27" s="9"/>
      <c r="H27" s="36"/>
      <c r="I27" s="38"/>
      <c r="J27" s="36"/>
      <c r="K27" s="36"/>
      <c r="L27" s="36"/>
      <c r="M27" s="36"/>
      <c r="N27" s="36"/>
      <c r="O27" s="36"/>
      <c r="P27" s="9"/>
      <c r="Q27" s="36"/>
      <c r="R27" s="9"/>
      <c r="S27" s="9"/>
      <c r="T27" s="39"/>
      <c r="U27" s="39"/>
      <c r="V27" s="36"/>
      <c r="W27" s="9"/>
      <c r="X27" s="9"/>
      <c r="Y27" s="9"/>
      <c r="Z27" s="9"/>
      <c r="AA27" s="9"/>
      <c r="AB27" s="9"/>
      <c r="AC27" s="9"/>
      <c r="AD27" s="37"/>
      <c r="AE27" s="38"/>
      <c r="AF27" s="39"/>
      <c r="AG27" s="39"/>
      <c r="AH27" s="9"/>
      <c r="AI27" s="9"/>
      <c r="AJ27" s="9"/>
      <c r="AK27" s="9"/>
      <c r="AL27" s="9"/>
      <c r="AM27" s="40"/>
      <c r="AN27" s="10" t="str">
        <f aca="false">IF(C27="","",C27&amp;"|"&amp;D27&amp;"|"&amp;E27&amp;"|"&amp;F27&amp;"|"&amp;Y27)</f>
        <v/>
      </c>
    </row>
    <row r="28" customFormat="false" ht="15" hidden="false" customHeight="false" outlineLevel="0" collapsed="false">
      <c r="A28" s="10" t="str">
        <f aca="false">IF(C28="","","RW-"&amp;IFERROR(VLOOKUP(C28,Lists!$M$4:$N$23,2,0),"??")&amp;"-H"&amp;TEXT(D28*1000,"0000")&amp;"-S"&amp;E28&amp;IF(F28="Y","-GW","")&amp;"-"&amp;X28)</f>
        <v/>
      </c>
      <c r="B28" s="10" t="str">
        <f aca="false">IF(C28="","",C28&amp;", H = "&amp;TEXT(D28,"0.0")&amp;" m, q = "&amp;E28&amp;" kPa"&amp;IF(F28="Y",", with GWT",""))</f>
        <v/>
      </c>
      <c r="C28" s="9"/>
      <c r="D28" s="39"/>
      <c r="E28" s="36"/>
      <c r="F28" s="9"/>
      <c r="G28" s="9"/>
      <c r="H28" s="36"/>
      <c r="I28" s="38"/>
      <c r="J28" s="36"/>
      <c r="K28" s="36"/>
      <c r="L28" s="36"/>
      <c r="M28" s="36"/>
      <c r="N28" s="36"/>
      <c r="O28" s="36"/>
      <c r="P28" s="9"/>
      <c r="Q28" s="36"/>
      <c r="R28" s="9"/>
      <c r="S28" s="9"/>
      <c r="T28" s="39"/>
      <c r="U28" s="39"/>
      <c r="V28" s="36"/>
      <c r="W28" s="9"/>
      <c r="X28" s="9"/>
      <c r="Y28" s="9"/>
      <c r="Z28" s="9"/>
      <c r="AA28" s="9"/>
      <c r="AB28" s="9"/>
      <c r="AC28" s="9"/>
      <c r="AD28" s="37"/>
      <c r="AE28" s="38"/>
      <c r="AF28" s="39"/>
      <c r="AG28" s="39"/>
      <c r="AH28" s="9"/>
      <c r="AI28" s="9"/>
      <c r="AJ28" s="9"/>
      <c r="AK28" s="9"/>
      <c r="AL28" s="9"/>
      <c r="AM28" s="40"/>
      <c r="AN28" s="10" t="str">
        <f aca="false">IF(C28="","",C28&amp;"|"&amp;D28&amp;"|"&amp;E28&amp;"|"&amp;F28&amp;"|"&amp;Y28)</f>
        <v/>
      </c>
    </row>
    <row r="29" customFormat="false" ht="15" hidden="false" customHeight="false" outlineLevel="0" collapsed="false">
      <c r="A29" s="10" t="str">
        <f aca="false">IF(C29="","","RW-"&amp;IFERROR(VLOOKUP(C29,Lists!$M$4:$N$23,2,0),"??")&amp;"-H"&amp;TEXT(D29*1000,"0000")&amp;"-S"&amp;E29&amp;IF(F29="Y","-GW","")&amp;"-"&amp;X29)</f>
        <v/>
      </c>
      <c r="B29" s="10" t="str">
        <f aca="false">IF(C29="","",C29&amp;", H = "&amp;TEXT(D29,"0.0")&amp;" m, q = "&amp;E29&amp;" kPa"&amp;IF(F29="Y",", with GWT",""))</f>
        <v/>
      </c>
      <c r="C29" s="9"/>
      <c r="D29" s="39"/>
      <c r="E29" s="36"/>
      <c r="F29" s="9"/>
      <c r="G29" s="9"/>
      <c r="H29" s="36"/>
      <c r="I29" s="38"/>
      <c r="J29" s="36"/>
      <c r="K29" s="36"/>
      <c r="L29" s="36"/>
      <c r="M29" s="36"/>
      <c r="N29" s="36"/>
      <c r="O29" s="36"/>
      <c r="P29" s="9"/>
      <c r="Q29" s="36"/>
      <c r="R29" s="9"/>
      <c r="S29" s="9"/>
      <c r="T29" s="39"/>
      <c r="U29" s="39"/>
      <c r="V29" s="36"/>
      <c r="W29" s="9"/>
      <c r="X29" s="9"/>
      <c r="Y29" s="9"/>
      <c r="Z29" s="9"/>
      <c r="AA29" s="9"/>
      <c r="AB29" s="9"/>
      <c r="AC29" s="9"/>
      <c r="AD29" s="37"/>
      <c r="AE29" s="38"/>
      <c r="AF29" s="39"/>
      <c r="AG29" s="39"/>
      <c r="AH29" s="9"/>
      <c r="AI29" s="9"/>
      <c r="AJ29" s="9"/>
      <c r="AK29" s="9"/>
      <c r="AL29" s="9"/>
      <c r="AM29" s="40"/>
      <c r="AN29" s="10" t="str">
        <f aca="false">IF(C29="","",C29&amp;"|"&amp;D29&amp;"|"&amp;E29&amp;"|"&amp;F29&amp;"|"&amp;Y29)</f>
        <v/>
      </c>
    </row>
    <row r="30" customFormat="false" ht="15" hidden="false" customHeight="false" outlineLevel="0" collapsed="false">
      <c r="A30" s="10" t="str">
        <f aca="false">IF(C30="","","RW-"&amp;IFERROR(VLOOKUP(C30,Lists!$M$4:$N$23,2,0),"??")&amp;"-H"&amp;TEXT(D30*1000,"0000")&amp;"-S"&amp;E30&amp;IF(F30="Y","-GW","")&amp;"-"&amp;X30)</f>
        <v/>
      </c>
      <c r="B30" s="10" t="str">
        <f aca="false">IF(C30="","",C30&amp;", H = "&amp;TEXT(D30,"0.0")&amp;" m, q = "&amp;E30&amp;" kPa"&amp;IF(F30="Y",", with GWT",""))</f>
        <v/>
      </c>
      <c r="C30" s="9"/>
      <c r="D30" s="39"/>
      <c r="E30" s="36"/>
      <c r="F30" s="9"/>
      <c r="G30" s="9"/>
      <c r="H30" s="36"/>
      <c r="I30" s="38"/>
      <c r="J30" s="36"/>
      <c r="K30" s="36"/>
      <c r="L30" s="36"/>
      <c r="M30" s="36"/>
      <c r="N30" s="36"/>
      <c r="O30" s="36"/>
      <c r="P30" s="9"/>
      <c r="Q30" s="36"/>
      <c r="R30" s="9"/>
      <c r="S30" s="9"/>
      <c r="T30" s="39"/>
      <c r="U30" s="39"/>
      <c r="V30" s="36"/>
      <c r="W30" s="9"/>
      <c r="X30" s="9"/>
      <c r="Y30" s="9"/>
      <c r="Z30" s="9"/>
      <c r="AA30" s="9"/>
      <c r="AB30" s="9"/>
      <c r="AC30" s="9"/>
      <c r="AD30" s="37"/>
      <c r="AE30" s="38"/>
      <c r="AF30" s="39"/>
      <c r="AG30" s="39"/>
      <c r="AH30" s="9"/>
      <c r="AI30" s="9"/>
      <c r="AJ30" s="9"/>
      <c r="AK30" s="9"/>
      <c r="AL30" s="9"/>
      <c r="AM30" s="40"/>
      <c r="AN30" s="10" t="str">
        <f aca="false">IF(C30="","",C30&amp;"|"&amp;D30&amp;"|"&amp;E30&amp;"|"&amp;F30&amp;"|"&amp;Y30)</f>
        <v/>
      </c>
    </row>
    <row r="31" customFormat="false" ht="15" hidden="false" customHeight="false" outlineLevel="0" collapsed="false">
      <c r="A31" s="10" t="str">
        <f aca="false">IF(C31="","","RW-"&amp;IFERROR(VLOOKUP(C31,Lists!$M$4:$N$23,2,0),"??")&amp;"-H"&amp;TEXT(D31*1000,"0000")&amp;"-S"&amp;E31&amp;IF(F31="Y","-GW","")&amp;"-"&amp;X31)</f>
        <v/>
      </c>
      <c r="B31" s="10" t="str">
        <f aca="false">IF(C31="","",C31&amp;", H = "&amp;TEXT(D31,"0.0")&amp;" m, q = "&amp;E31&amp;" kPa"&amp;IF(F31="Y",", with GWT",""))</f>
        <v/>
      </c>
      <c r="C31" s="9"/>
      <c r="D31" s="39"/>
      <c r="E31" s="36"/>
      <c r="F31" s="9"/>
      <c r="G31" s="9"/>
      <c r="H31" s="36"/>
      <c r="I31" s="38"/>
      <c r="J31" s="36"/>
      <c r="K31" s="36"/>
      <c r="L31" s="36"/>
      <c r="M31" s="36"/>
      <c r="N31" s="36"/>
      <c r="O31" s="36"/>
      <c r="P31" s="9"/>
      <c r="Q31" s="36"/>
      <c r="R31" s="9"/>
      <c r="S31" s="9"/>
      <c r="T31" s="39"/>
      <c r="U31" s="39"/>
      <c r="V31" s="36"/>
      <c r="W31" s="9"/>
      <c r="X31" s="9"/>
      <c r="Y31" s="9"/>
      <c r="Z31" s="9"/>
      <c r="AA31" s="9"/>
      <c r="AB31" s="9"/>
      <c r="AC31" s="9"/>
      <c r="AD31" s="37"/>
      <c r="AE31" s="38"/>
      <c r="AF31" s="39"/>
      <c r="AG31" s="39"/>
      <c r="AH31" s="9"/>
      <c r="AI31" s="9"/>
      <c r="AJ31" s="9"/>
      <c r="AK31" s="9"/>
      <c r="AL31" s="9"/>
      <c r="AM31" s="40"/>
      <c r="AN31" s="10" t="str">
        <f aca="false">IF(C31="","",C31&amp;"|"&amp;D31&amp;"|"&amp;E31&amp;"|"&amp;F31&amp;"|"&amp;Y31)</f>
        <v/>
      </c>
    </row>
    <row r="32" customFormat="false" ht="15" hidden="false" customHeight="false" outlineLevel="0" collapsed="false">
      <c r="A32" s="10" t="str">
        <f aca="false">IF(C32="","","RW-"&amp;IFERROR(VLOOKUP(C32,Lists!$M$4:$N$23,2,0),"??")&amp;"-H"&amp;TEXT(D32*1000,"0000")&amp;"-S"&amp;E32&amp;IF(F32="Y","-GW","")&amp;"-"&amp;X32)</f>
        <v/>
      </c>
      <c r="B32" s="10" t="str">
        <f aca="false">IF(C32="","",C32&amp;", H = "&amp;TEXT(D32,"0.0")&amp;" m, q = "&amp;E32&amp;" kPa"&amp;IF(F32="Y",", with GWT",""))</f>
        <v/>
      </c>
      <c r="C32" s="9"/>
      <c r="D32" s="39"/>
      <c r="E32" s="36"/>
      <c r="F32" s="9"/>
      <c r="G32" s="9"/>
      <c r="H32" s="36"/>
      <c r="I32" s="38"/>
      <c r="J32" s="36"/>
      <c r="K32" s="36"/>
      <c r="L32" s="36"/>
      <c r="M32" s="36"/>
      <c r="N32" s="36"/>
      <c r="O32" s="36"/>
      <c r="P32" s="9"/>
      <c r="Q32" s="36"/>
      <c r="R32" s="9"/>
      <c r="S32" s="9"/>
      <c r="T32" s="39"/>
      <c r="U32" s="39"/>
      <c r="V32" s="36"/>
      <c r="W32" s="9"/>
      <c r="X32" s="9"/>
      <c r="Y32" s="9"/>
      <c r="Z32" s="9"/>
      <c r="AA32" s="9"/>
      <c r="AB32" s="9"/>
      <c r="AC32" s="9"/>
      <c r="AD32" s="37"/>
      <c r="AE32" s="38"/>
      <c r="AF32" s="39"/>
      <c r="AG32" s="39"/>
      <c r="AH32" s="9"/>
      <c r="AI32" s="9"/>
      <c r="AJ32" s="9"/>
      <c r="AK32" s="9"/>
      <c r="AL32" s="9"/>
      <c r="AM32" s="40"/>
      <c r="AN32" s="10" t="str">
        <f aca="false">IF(C32="","",C32&amp;"|"&amp;D32&amp;"|"&amp;E32&amp;"|"&amp;F32&amp;"|"&amp;Y32)</f>
        <v/>
      </c>
    </row>
    <row r="33" customFormat="false" ht="15" hidden="false" customHeight="false" outlineLevel="0" collapsed="false">
      <c r="A33" s="10" t="str">
        <f aca="false">IF(C33="","","RW-"&amp;IFERROR(VLOOKUP(C33,Lists!$M$4:$N$23,2,0),"??")&amp;"-H"&amp;TEXT(D33*1000,"0000")&amp;"-S"&amp;E33&amp;IF(F33="Y","-GW","")&amp;"-"&amp;X33)</f>
        <v/>
      </c>
      <c r="B33" s="10" t="str">
        <f aca="false">IF(C33="","",C33&amp;", H = "&amp;TEXT(D33,"0.0")&amp;" m, q = "&amp;E33&amp;" kPa"&amp;IF(F33="Y",", with GWT",""))</f>
        <v/>
      </c>
      <c r="C33" s="9"/>
      <c r="D33" s="39"/>
      <c r="E33" s="36"/>
      <c r="F33" s="9"/>
      <c r="G33" s="9"/>
      <c r="H33" s="36"/>
      <c r="I33" s="38"/>
      <c r="J33" s="36"/>
      <c r="K33" s="36"/>
      <c r="L33" s="36"/>
      <c r="M33" s="36"/>
      <c r="N33" s="36"/>
      <c r="O33" s="36"/>
      <c r="P33" s="9"/>
      <c r="Q33" s="36"/>
      <c r="R33" s="9"/>
      <c r="S33" s="9"/>
      <c r="T33" s="39"/>
      <c r="U33" s="39"/>
      <c r="V33" s="36"/>
      <c r="W33" s="9"/>
      <c r="X33" s="9"/>
      <c r="Y33" s="9"/>
      <c r="Z33" s="9"/>
      <c r="AA33" s="9"/>
      <c r="AB33" s="9"/>
      <c r="AC33" s="9"/>
      <c r="AD33" s="37"/>
      <c r="AE33" s="38"/>
      <c r="AF33" s="39"/>
      <c r="AG33" s="39"/>
      <c r="AH33" s="9"/>
      <c r="AI33" s="9"/>
      <c r="AJ33" s="9"/>
      <c r="AK33" s="9"/>
      <c r="AL33" s="9"/>
      <c r="AM33" s="40"/>
      <c r="AN33" s="10" t="str">
        <f aca="false">IF(C33="","",C33&amp;"|"&amp;D33&amp;"|"&amp;E33&amp;"|"&amp;F33&amp;"|"&amp;Y33)</f>
        <v/>
      </c>
    </row>
    <row r="34" customFormat="false" ht="15" hidden="false" customHeight="false" outlineLevel="0" collapsed="false">
      <c r="A34" s="10" t="str">
        <f aca="false">IF(C34="","","RW-"&amp;IFERROR(VLOOKUP(C34,Lists!$M$4:$N$23,2,0),"??")&amp;"-H"&amp;TEXT(D34*1000,"0000")&amp;"-S"&amp;E34&amp;IF(F34="Y","-GW","")&amp;"-"&amp;X34)</f>
        <v/>
      </c>
      <c r="B34" s="10" t="str">
        <f aca="false">IF(C34="","",C34&amp;", H = "&amp;TEXT(D34,"0.0")&amp;" m, q = "&amp;E34&amp;" kPa"&amp;IF(F34="Y",", with GWT",""))</f>
        <v/>
      </c>
      <c r="C34" s="9"/>
      <c r="D34" s="39"/>
      <c r="E34" s="36"/>
      <c r="F34" s="9"/>
      <c r="G34" s="9"/>
      <c r="H34" s="36"/>
      <c r="I34" s="38"/>
      <c r="J34" s="36"/>
      <c r="K34" s="36"/>
      <c r="L34" s="36"/>
      <c r="M34" s="36"/>
      <c r="N34" s="36"/>
      <c r="O34" s="36"/>
      <c r="P34" s="9"/>
      <c r="Q34" s="36"/>
      <c r="R34" s="9"/>
      <c r="S34" s="9"/>
      <c r="T34" s="39"/>
      <c r="U34" s="39"/>
      <c r="V34" s="36"/>
      <c r="W34" s="9"/>
      <c r="X34" s="9"/>
      <c r="Y34" s="9"/>
      <c r="Z34" s="9"/>
      <c r="AA34" s="9"/>
      <c r="AB34" s="9"/>
      <c r="AC34" s="9"/>
      <c r="AD34" s="37"/>
      <c r="AE34" s="38"/>
      <c r="AF34" s="39"/>
      <c r="AG34" s="39"/>
      <c r="AH34" s="9"/>
      <c r="AI34" s="9"/>
      <c r="AJ34" s="9"/>
      <c r="AK34" s="9"/>
      <c r="AL34" s="9"/>
      <c r="AM34" s="40"/>
      <c r="AN34" s="10" t="str">
        <f aca="false">IF(C34="","",C34&amp;"|"&amp;D34&amp;"|"&amp;E34&amp;"|"&amp;F34&amp;"|"&amp;Y34)</f>
        <v/>
      </c>
    </row>
    <row r="35" customFormat="false" ht="15" hidden="false" customHeight="false" outlineLevel="0" collapsed="false">
      <c r="A35" s="10" t="str">
        <f aca="false">IF(C35="","","RW-"&amp;IFERROR(VLOOKUP(C35,Lists!$M$4:$N$23,2,0),"??")&amp;"-H"&amp;TEXT(D35*1000,"0000")&amp;"-S"&amp;E35&amp;IF(F35="Y","-GW","")&amp;"-"&amp;X35)</f>
        <v/>
      </c>
      <c r="B35" s="10" t="str">
        <f aca="false">IF(C35="","",C35&amp;", H = "&amp;TEXT(D35,"0.0")&amp;" m, q = "&amp;E35&amp;" kPa"&amp;IF(F35="Y",", with GWT",""))</f>
        <v/>
      </c>
      <c r="C35" s="9"/>
      <c r="D35" s="39"/>
      <c r="E35" s="36"/>
      <c r="F35" s="9"/>
      <c r="G35" s="9"/>
      <c r="H35" s="36"/>
      <c r="I35" s="38"/>
      <c r="J35" s="36"/>
      <c r="K35" s="36"/>
      <c r="L35" s="36"/>
      <c r="M35" s="36"/>
      <c r="N35" s="36"/>
      <c r="O35" s="36"/>
      <c r="P35" s="9"/>
      <c r="Q35" s="36"/>
      <c r="R35" s="9"/>
      <c r="S35" s="9"/>
      <c r="T35" s="39"/>
      <c r="U35" s="39"/>
      <c r="V35" s="36"/>
      <c r="W35" s="9"/>
      <c r="X35" s="9"/>
      <c r="Y35" s="9"/>
      <c r="Z35" s="9"/>
      <c r="AA35" s="9"/>
      <c r="AB35" s="9"/>
      <c r="AC35" s="9"/>
      <c r="AD35" s="37"/>
      <c r="AE35" s="38"/>
      <c r="AF35" s="39"/>
      <c r="AG35" s="39"/>
      <c r="AH35" s="9"/>
      <c r="AI35" s="9"/>
      <c r="AJ35" s="9"/>
      <c r="AK35" s="9"/>
      <c r="AL35" s="9"/>
      <c r="AM35" s="40"/>
      <c r="AN35" s="10" t="str">
        <f aca="false">IF(C35="","",C35&amp;"|"&amp;D35&amp;"|"&amp;E35&amp;"|"&amp;F35&amp;"|"&amp;Y35)</f>
        <v/>
      </c>
    </row>
    <row r="36" customFormat="false" ht="15" hidden="false" customHeight="false" outlineLevel="0" collapsed="false">
      <c r="A36" s="10" t="str">
        <f aca="false">IF(C36="","","RW-"&amp;IFERROR(VLOOKUP(C36,Lists!$M$4:$N$23,2,0),"??")&amp;"-H"&amp;TEXT(D36*1000,"0000")&amp;"-S"&amp;E36&amp;IF(F36="Y","-GW","")&amp;"-"&amp;X36)</f>
        <v/>
      </c>
      <c r="B36" s="10" t="str">
        <f aca="false">IF(C36="","",C36&amp;", H = "&amp;TEXT(D36,"0.0")&amp;" m, q = "&amp;E36&amp;" kPa"&amp;IF(F36="Y",", with GWT",""))</f>
        <v/>
      </c>
      <c r="C36" s="9"/>
      <c r="D36" s="39"/>
      <c r="E36" s="36"/>
      <c r="F36" s="9"/>
      <c r="G36" s="9"/>
      <c r="H36" s="36"/>
      <c r="I36" s="38"/>
      <c r="J36" s="36"/>
      <c r="K36" s="36"/>
      <c r="L36" s="36"/>
      <c r="M36" s="36"/>
      <c r="N36" s="36"/>
      <c r="O36" s="36"/>
      <c r="P36" s="9"/>
      <c r="Q36" s="36"/>
      <c r="R36" s="9"/>
      <c r="S36" s="9"/>
      <c r="T36" s="39"/>
      <c r="U36" s="39"/>
      <c r="V36" s="36"/>
      <c r="W36" s="9"/>
      <c r="X36" s="9"/>
      <c r="Y36" s="9"/>
      <c r="Z36" s="9"/>
      <c r="AA36" s="9"/>
      <c r="AB36" s="9"/>
      <c r="AC36" s="9"/>
      <c r="AD36" s="37"/>
      <c r="AE36" s="38"/>
      <c r="AF36" s="39"/>
      <c r="AG36" s="39"/>
      <c r="AH36" s="9"/>
      <c r="AI36" s="9"/>
      <c r="AJ36" s="9"/>
      <c r="AK36" s="9"/>
      <c r="AL36" s="9"/>
      <c r="AM36" s="40"/>
      <c r="AN36" s="10" t="str">
        <f aca="false">IF(C36="","",C36&amp;"|"&amp;D36&amp;"|"&amp;E36&amp;"|"&amp;F36&amp;"|"&amp;Y36)</f>
        <v/>
      </c>
    </row>
    <row r="37" customFormat="false" ht="15" hidden="false" customHeight="false" outlineLevel="0" collapsed="false">
      <c r="A37" s="10" t="str">
        <f aca="false">IF(C37="","","RW-"&amp;IFERROR(VLOOKUP(C37,Lists!$M$4:$N$23,2,0),"??")&amp;"-H"&amp;TEXT(D37*1000,"0000")&amp;"-S"&amp;E37&amp;IF(F37="Y","-GW","")&amp;"-"&amp;X37)</f>
        <v/>
      </c>
      <c r="B37" s="10" t="str">
        <f aca="false">IF(C37="","",C37&amp;", H = "&amp;TEXT(D37,"0.0")&amp;" m, q = "&amp;E37&amp;" kPa"&amp;IF(F37="Y",", with GWT",""))</f>
        <v/>
      </c>
      <c r="C37" s="9"/>
      <c r="D37" s="39"/>
      <c r="E37" s="36"/>
      <c r="F37" s="9"/>
      <c r="G37" s="9"/>
      <c r="H37" s="36"/>
      <c r="I37" s="38"/>
      <c r="J37" s="36"/>
      <c r="K37" s="36"/>
      <c r="L37" s="36"/>
      <c r="M37" s="36"/>
      <c r="N37" s="36"/>
      <c r="O37" s="36"/>
      <c r="P37" s="9"/>
      <c r="Q37" s="36"/>
      <c r="R37" s="9"/>
      <c r="S37" s="9"/>
      <c r="T37" s="39"/>
      <c r="U37" s="39"/>
      <c r="V37" s="36"/>
      <c r="W37" s="9"/>
      <c r="X37" s="9"/>
      <c r="Y37" s="9"/>
      <c r="Z37" s="9"/>
      <c r="AA37" s="9"/>
      <c r="AB37" s="9"/>
      <c r="AC37" s="9"/>
      <c r="AD37" s="37"/>
      <c r="AE37" s="38"/>
      <c r="AF37" s="39"/>
      <c r="AG37" s="39"/>
      <c r="AH37" s="9"/>
      <c r="AI37" s="9"/>
      <c r="AJ37" s="9"/>
      <c r="AK37" s="9"/>
      <c r="AL37" s="9"/>
      <c r="AM37" s="40"/>
      <c r="AN37" s="10" t="str">
        <f aca="false">IF(C37="","",C37&amp;"|"&amp;D37&amp;"|"&amp;E37&amp;"|"&amp;F37&amp;"|"&amp;Y37)</f>
        <v/>
      </c>
    </row>
    <row r="38" customFormat="false" ht="15" hidden="false" customHeight="false" outlineLevel="0" collapsed="false">
      <c r="A38" s="10" t="str">
        <f aca="false">IF(C38="","","RW-"&amp;IFERROR(VLOOKUP(C38,Lists!$M$4:$N$23,2,0),"??")&amp;"-H"&amp;TEXT(D38*1000,"0000")&amp;"-S"&amp;E38&amp;IF(F38="Y","-GW","")&amp;"-"&amp;X38)</f>
        <v/>
      </c>
      <c r="B38" s="10" t="str">
        <f aca="false">IF(C38="","",C38&amp;", H = "&amp;TEXT(D38,"0.0")&amp;" m, q = "&amp;E38&amp;" kPa"&amp;IF(F38="Y",", with GWT",""))</f>
        <v/>
      </c>
      <c r="C38" s="9"/>
      <c r="D38" s="39"/>
      <c r="E38" s="36"/>
      <c r="F38" s="9"/>
      <c r="G38" s="9"/>
      <c r="H38" s="36"/>
      <c r="I38" s="38"/>
      <c r="J38" s="36"/>
      <c r="K38" s="36"/>
      <c r="L38" s="36"/>
      <c r="M38" s="36"/>
      <c r="N38" s="36"/>
      <c r="O38" s="36"/>
      <c r="P38" s="9"/>
      <c r="Q38" s="36"/>
      <c r="R38" s="9"/>
      <c r="S38" s="9"/>
      <c r="T38" s="39"/>
      <c r="U38" s="39"/>
      <c r="V38" s="36"/>
      <c r="W38" s="9"/>
      <c r="X38" s="9"/>
      <c r="Y38" s="9"/>
      <c r="Z38" s="9"/>
      <c r="AA38" s="9"/>
      <c r="AB38" s="9"/>
      <c r="AC38" s="9"/>
      <c r="AD38" s="37"/>
      <c r="AE38" s="38"/>
      <c r="AF38" s="39"/>
      <c r="AG38" s="39"/>
      <c r="AH38" s="9"/>
      <c r="AI38" s="9"/>
      <c r="AJ38" s="9"/>
      <c r="AK38" s="9"/>
      <c r="AL38" s="9"/>
      <c r="AM38" s="40"/>
      <c r="AN38" s="10" t="str">
        <f aca="false">IF(C38="","",C38&amp;"|"&amp;D38&amp;"|"&amp;E38&amp;"|"&amp;F38&amp;"|"&amp;Y38)</f>
        <v/>
      </c>
    </row>
    <row r="39" customFormat="false" ht="15" hidden="false" customHeight="false" outlineLevel="0" collapsed="false">
      <c r="A39" s="10" t="str">
        <f aca="false">IF(C39="","","RW-"&amp;IFERROR(VLOOKUP(C39,Lists!$M$4:$N$23,2,0),"??")&amp;"-H"&amp;TEXT(D39*1000,"0000")&amp;"-S"&amp;E39&amp;IF(F39="Y","-GW","")&amp;"-"&amp;X39)</f>
        <v/>
      </c>
      <c r="B39" s="10" t="str">
        <f aca="false">IF(C39="","",C39&amp;", H = "&amp;TEXT(D39,"0.0")&amp;" m, q = "&amp;E39&amp;" kPa"&amp;IF(F39="Y",", with GWT",""))</f>
        <v/>
      </c>
      <c r="C39" s="9"/>
      <c r="D39" s="39"/>
      <c r="E39" s="36"/>
      <c r="F39" s="9"/>
      <c r="G39" s="9"/>
      <c r="H39" s="36"/>
      <c r="I39" s="38"/>
      <c r="J39" s="36"/>
      <c r="K39" s="36"/>
      <c r="L39" s="36"/>
      <c r="M39" s="36"/>
      <c r="N39" s="36"/>
      <c r="O39" s="36"/>
      <c r="P39" s="9"/>
      <c r="Q39" s="36"/>
      <c r="R39" s="9"/>
      <c r="S39" s="9"/>
      <c r="T39" s="39"/>
      <c r="U39" s="39"/>
      <c r="V39" s="36"/>
      <c r="W39" s="9"/>
      <c r="X39" s="9"/>
      <c r="Y39" s="9"/>
      <c r="Z39" s="9"/>
      <c r="AA39" s="9"/>
      <c r="AB39" s="9"/>
      <c r="AC39" s="9"/>
      <c r="AD39" s="37"/>
      <c r="AE39" s="38"/>
      <c r="AF39" s="39"/>
      <c r="AG39" s="39"/>
      <c r="AH39" s="9"/>
      <c r="AI39" s="9"/>
      <c r="AJ39" s="9"/>
      <c r="AK39" s="9"/>
      <c r="AL39" s="9"/>
      <c r="AM39" s="40"/>
      <c r="AN39" s="10" t="str">
        <f aca="false">IF(C39="","",C39&amp;"|"&amp;D39&amp;"|"&amp;E39&amp;"|"&amp;F39&amp;"|"&amp;Y39)</f>
        <v/>
      </c>
    </row>
    <row r="40" customFormat="false" ht="15" hidden="false" customHeight="false" outlineLevel="0" collapsed="false">
      <c r="A40" s="10" t="str">
        <f aca="false">IF(C40="","","RW-"&amp;IFERROR(VLOOKUP(C40,Lists!$M$4:$N$23,2,0),"??")&amp;"-H"&amp;TEXT(D40*1000,"0000")&amp;"-S"&amp;E40&amp;IF(F40="Y","-GW","")&amp;"-"&amp;X40)</f>
        <v/>
      </c>
      <c r="B40" s="10" t="str">
        <f aca="false">IF(C40="","",C40&amp;", H = "&amp;TEXT(D40,"0.0")&amp;" m, q = "&amp;E40&amp;" kPa"&amp;IF(F40="Y",", with GWT",""))</f>
        <v/>
      </c>
      <c r="C40" s="9"/>
      <c r="D40" s="39"/>
      <c r="E40" s="36"/>
      <c r="F40" s="9"/>
      <c r="G40" s="9"/>
      <c r="H40" s="36"/>
      <c r="I40" s="38"/>
      <c r="J40" s="36"/>
      <c r="K40" s="36"/>
      <c r="L40" s="36"/>
      <c r="M40" s="36"/>
      <c r="N40" s="36"/>
      <c r="O40" s="36"/>
      <c r="P40" s="9"/>
      <c r="Q40" s="36"/>
      <c r="R40" s="9"/>
      <c r="S40" s="9"/>
      <c r="T40" s="39"/>
      <c r="U40" s="39"/>
      <c r="V40" s="36"/>
      <c r="W40" s="9"/>
      <c r="X40" s="9"/>
      <c r="Y40" s="9"/>
      <c r="Z40" s="9"/>
      <c r="AA40" s="9"/>
      <c r="AB40" s="9"/>
      <c r="AC40" s="9"/>
      <c r="AD40" s="37"/>
      <c r="AE40" s="38"/>
      <c r="AF40" s="39"/>
      <c r="AG40" s="39"/>
      <c r="AH40" s="9"/>
      <c r="AI40" s="9"/>
      <c r="AJ40" s="9"/>
      <c r="AK40" s="9"/>
      <c r="AL40" s="9"/>
      <c r="AM40" s="40"/>
      <c r="AN40" s="10" t="str">
        <f aca="false">IF(C40="","",C40&amp;"|"&amp;D40&amp;"|"&amp;E40&amp;"|"&amp;F40&amp;"|"&amp;Y40)</f>
        <v/>
      </c>
    </row>
    <row r="41" customFormat="false" ht="15" hidden="false" customHeight="false" outlineLevel="0" collapsed="false">
      <c r="A41" s="10" t="str">
        <f aca="false">IF(C41="","","RW-"&amp;IFERROR(VLOOKUP(C41,Lists!$M$4:$N$23,2,0),"??")&amp;"-H"&amp;TEXT(D41*1000,"0000")&amp;"-S"&amp;E41&amp;IF(F41="Y","-GW","")&amp;"-"&amp;X41)</f>
        <v/>
      </c>
      <c r="B41" s="10" t="str">
        <f aca="false">IF(C41="","",C41&amp;", H = "&amp;TEXT(D41,"0.0")&amp;" m, q = "&amp;E41&amp;" kPa"&amp;IF(F41="Y",", with GWT",""))</f>
        <v/>
      </c>
      <c r="C41" s="9"/>
      <c r="D41" s="39"/>
      <c r="E41" s="36"/>
      <c r="F41" s="9"/>
      <c r="G41" s="9"/>
      <c r="H41" s="36"/>
      <c r="I41" s="38"/>
      <c r="J41" s="36"/>
      <c r="K41" s="36"/>
      <c r="L41" s="36"/>
      <c r="M41" s="36"/>
      <c r="N41" s="36"/>
      <c r="O41" s="36"/>
      <c r="P41" s="9"/>
      <c r="Q41" s="36"/>
      <c r="R41" s="9"/>
      <c r="S41" s="9"/>
      <c r="T41" s="39"/>
      <c r="U41" s="39"/>
      <c r="V41" s="36"/>
      <c r="W41" s="9"/>
      <c r="X41" s="9"/>
      <c r="Y41" s="9"/>
      <c r="Z41" s="9"/>
      <c r="AA41" s="9"/>
      <c r="AB41" s="9"/>
      <c r="AC41" s="9"/>
      <c r="AD41" s="37"/>
      <c r="AE41" s="38"/>
      <c r="AF41" s="39"/>
      <c r="AG41" s="39"/>
      <c r="AH41" s="9"/>
      <c r="AI41" s="9"/>
      <c r="AJ41" s="9"/>
      <c r="AK41" s="9"/>
      <c r="AL41" s="9"/>
      <c r="AM41" s="40"/>
      <c r="AN41" s="10" t="str">
        <f aca="false">IF(C41="","",C41&amp;"|"&amp;D41&amp;"|"&amp;E41&amp;"|"&amp;F41&amp;"|"&amp;Y41)</f>
        <v/>
      </c>
    </row>
    <row r="42" customFormat="false" ht="15" hidden="false" customHeight="false" outlineLevel="0" collapsed="false">
      <c r="A42" s="10" t="str">
        <f aca="false">IF(C42="","","RW-"&amp;IFERROR(VLOOKUP(C42,Lists!$M$4:$N$23,2,0),"??")&amp;"-H"&amp;TEXT(D42*1000,"0000")&amp;"-S"&amp;E42&amp;IF(F42="Y","-GW","")&amp;"-"&amp;X42)</f>
        <v/>
      </c>
      <c r="B42" s="10" t="str">
        <f aca="false">IF(C42="","",C42&amp;", H = "&amp;TEXT(D42,"0.0")&amp;" m, q = "&amp;E42&amp;" kPa"&amp;IF(F42="Y",", with GWT",""))</f>
        <v/>
      </c>
      <c r="C42" s="9"/>
      <c r="D42" s="39"/>
      <c r="E42" s="36"/>
      <c r="F42" s="9"/>
      <c r="G42" s="9"/>
      <c r="H42" s="36"/>
      <c r="I42" s="38"/>
      <c r="J42" s="36"/>
      <c r="K42" s="36"/>
      <c r="L42" s="36"/>
      <c r="M42" s="36"/>
      <c r="N42" s="36"/>
      <c r="O42" s="36"/>
      <c r="P42" s="9"/>
      <c r="Q42" s="36"/>
      <c r="R42" s="9"/>
      <c r="S42" s="9"/>
      <c r="T42" s="39"/>
      <c r="U42" s="39"/>
      <c r="V42" s="36"/>
      <c r="W42" s="9"/>
      <c r="X42" s="9"/>
      <c r="Y42" s="9"/>
      <c r="Z42" s="9"/>
      <c r="AA42" s="9"/>
      <c r="AB42" s="9"/>
      <c r="AC42" s="9"/>
      <c r="AD42" s="37"/>
      <c r="AE42" s="38"/>
      <c r="AF42" s="39"/>
      <c r="AG42" s="39"/>
      <c r="AH42" s="9"/>
      <c r="AI42" s="9"/>
      <c r="AJ42" s="9"/>
      <c r="AK42" s="9"/>
      <c r="AL42" s="9"/>
      <c r="AM42" s="40"/>
      <c r="AN42" s="10" t="str">
        <f aca="false">IF(C42="","",C42&amp;"|"&amp;D42&amp;"|"&amp;E42&amp;"|"&amp;F42&amp;"|"&amp;Y42)</f>
        <v/>
      </c>
    </row>
    <row r="43" customFormat="false" ht="15" hidden="false" customHeight="false" outlineLevel="0" collapsed="false">
      <c r="A43" s="10" t="str">
        <f aca="false">IF(C43="","","RW-"&amp;IFERROR(VLOOKUP(C43,Lists!$M$4:$N$23,2,0),"??")&amp;"-H"&amp;TEXT(D43*1000,"0000")&amp;"-S"&amp;E43&amp;IF(F43="Y","-GW","")&amp;"-"&amp;X43)</f>
        <v/>
      </c>
      <c r="B43" s="10" t="str">
        <f aca="false">IF(C43="","",C43&amp;", H = "&amp;TEXT(D43,"0.0")&amp;" m, q = "&amp;E43&amp;" kPa"&amp;IF(F43="Y",", with GWT",""))</f>
        <v/>
      </c>
      <c r="C43" s="9"/>
      <c r="D43" s="39"/>
      <c r="E43" s="36"/>
      <c r="F43" s="9"/>
      <c r="G43" s="9"/>
      <c r="H43" s="36"/>
      <c r="I43" s="38"/>
      <c r="J43" s="36"/>
      <c r="K43" s="36"/>
      <c r="L43" s="36"/>
      <c r="M43" s="36"/>
      <c r="N43" s="36"/>
      <c r="O43" s="36"/>
      <c r="P43" s="9"/>
      <c r="Q43" s="36"/>
      <c r="R43" s="9"/>
      <c r="S43" s="9"/>
      <c r="T43" s="39"/>
      <c r="U43" s="39"/>
      <c r="V43" s="36"/>
      <c r="W43" s="9"/>
      <c r="X43" s="9"/>
      <c r="Y43" s="9"/>
      <c r="Z43" s="9"/>
      <c r="AA43" s="9"/>
      <c r="AB43" s="9"/>
      <c r="AC43" s="9"/>
      <c r="AD43" s="37"/>
      <c r="AE43" s="38"/>
      <c r="AF43" s="39"/>
      <c r="AG43" s="39"/>
      <c r="AH43" s="9"/>
      <c r="AI43" s="9"/>
      <c r="AJ43" s="9"/>
      <c r="AK43" s="9"/>
      <c r="AL43" s="9"/>
      <c r="AM43" s="40"/>
      <c r="AN43" s="10" t="str">
        <f aca="false">IF(C43="","",C43&amp;"|"&amp;D43&amp;"|"&amp;E43&amp;"|"&amp;F43&amp;"|"&amp;Y43)</f>
        <v/>
      </c>
    </row>
    <row r="44" customFormat="false" ht="15" hidden="false" customHeight="false" outlineLevel="0" collapsed="false">
      <c r="A44" s="10" t="str">
        <f aca="false">IF(C44="","","RW-"&amp;IFERROR(VLOOKUP(C44,Lists!$M$4:$N$23,2,0),"??")&amp;"-H"&amp;TEXT(D44*1000,"0000")&amp;"-S"&amp;E44&amp;IF(F44="Y","-GW","")&amp;"-"&amp;X44)</f>
        <v/>
      </c>
      <c r="B44" s="10" t="str">
        <f aca="false">IF(C44="","",C44&amp;", H = "&amp;TEXT(D44,"0.0")&amp;" m, q = "&amp;E44&amp;" kPa"&amp;IF(F44="Y",", with GWT",""))</f>
        <v/>
      </c>
      <c r="C44" s="9"/>
      <c r="D44" s="39"/>
      <c r="E44" s="36"/>
      <c r="F44" s="9"/>
      <c r="G44" s="9"/>
      <c r="H44" s="36"/>
      <c r="I44" s="38"/>
      <c r="J44" s="36"/>
      <c r="K44" s="36"/>
      <c r="L44" s="36"/>
      <c r="M44" s="36"/>
      <c r="N44" s="36"/>
      <c r="O44" s="36"/>
      <c r="P44" s="9"/>
      <c r="Q44" s="36"/>
      <c r="R44" s="9"/>
      <c r="S44" s="9"/>
      <c r="T44" s="39"/>
      <c r="U44" s="39"/>
      <c r="V44" s="36"/>
      <c r="W44" s="9"/>
      <c r="X44" s="9"/>
      <c r="Y44" s="9"/>
      <c r="Z44" s="9"/>
      <c r="AA44" s="9"/>
      <c r="AB44" s="9"/>
      <c r="AC44" s="9"/>
      <c r="AD44" s="37"/>
      <c r="AE44" s="38"/>
      <c r="AF44" s="39"/>
      <c r="AG44" s="39"/>
      <c r="AH44" s="9"/>
      <c r="AI44" s="9"/>
      <c r="AJ44" s="9"/>
      <c r="AK44" s="9"/>
      <c r="AL44" s="9"/>
      <c r="AM44" s="40"/>
      <c r="AN44" s="10" t="str">
        <f aca="false">IF(C44="","",C44&amp;"|"&amp;D44&amp;"|"&amp;E44&amp;"|"&amp;F44&amp;"|"&amp;Y44)</f>
        <v/>
      </c>
    </row>
    <row r="45" customFormat="false" ht="15" hidden="false" customHeight="false" outlineLevel="0" collapsed="false">
      <c r="A45" s="10" t="str">
        <f aca="false">IF(C45="","","RW-"&amp;IFERROR(VLOOKUP(C45,Lists!$M$4:$N$23,2,0),"??")&amp;"-H"&amp;TEXT(D45*1000,"0000")&amp;"-S"&amp;E45&amp;IF(F45="Y","-GW","")&amp;"-"&amp;X45)</f>
        <v/>
      </c>
      <c r="B45" s="10" t="str">
        <f aca="false">IF(C45="","",C45&amp;", H = "&amp;TEXT(D45,"0.0")&amp;" m, q = "&amp;E45&amp;" kPa"&amp;IF(F45="Y",", with GWT",""))</f>
        <v/>
      </c>
      <c r="C45" s="9"/>
      <c r="D45" s="39"/>
      <c r="E45" s="36"/>
      <c r="F45" s="9"/>
      <c r="G45" s="9"/>
      <c r="H45" s="36"/>
      <c r="I45" s="38"/>
      <c r="J45" s="36"/>
      <c r="K45" s="36"/>
      <c r="L45" s="36"/>
      <c r="M45" s="36"/>
      <c r="N45" s="36"/>
      <c r="O45" s="36"/>
      <c r="P45" s="9"/>
      <c r="Q45" s="36"/>
      <c r="R45" s="9"/>
      <c r="S45" s="9"/>
      <c r="T45" s="39"/>
      <c r="U45" s="39"/>
      <c r="V45" s="36"/>
      <c r="W45" s="9"/>
      <c r="X45" s="9"/>
      <c r="Y45" s="9"/>
      <c r="Z45" s="9"/>
      <c r="AA45" s="9"/>
      <c r="AB45" s="9"/>
      <c r="AC45" s="9"/>
      <c r="AD45" s="37"/>
      <c r="AE45" s="38"/>
      <c r="AF45" s="39"/>
      <c r="AG45" s="39"/>
      <c r="AH45" s="9"/>
      <c r="AI45" s="9"/>
      <c r="AJ45" s="9"/>
      <c r="AK45" s="9"/>
      <c r="AL45" s="9"/>
      <c r="AM45" s="40"/>
      <c r="AN45" s="10" t="str">
        <f aca="false">IF(C45="","",C45&amp;"|"&amp;D45&amp;"|"&amp;E45&amp;"|"&amp;F45&amp;"|"&amp;Y45)</f>
        <v/>
      </c>
    </row>
    <row r="46" customFormat="false" ht="15" hidden="false" customHeight="false" outlineLevel="0" collapsed="false">
      <c r="A46" s="10" t="str">
        <f aca="false">IF(C46="","","RW-"&amp;IFERROR(VLOOKUP(C46,Lists!$M$4:$N$23,2,0),"??")&amp;"-H"&amp;TEXT(D46*1000,"0000")&amp;"-S"&amp;E46&amp;IF(F46="Y","-GW","")&amp;"-"&amp;X46)</f>
        <v/>
      </c>
      <c r="B46" s="10" t="str">
        <f aca="false">IF(C46="","",C46&amp;", H = "&amp;TEXT(D46,"0.0")&amp;" m, q = "&amp;E46&amp;" kPa"&amp;IF(F46="Y",", with GWT",""))</f>
        <v/>
      </c>
      <c r="C46" s="9"/>
      <c r="D46" s="39"/>
      <c r="E46" s="36"/>
      <c r="F46" s="9"/>
      <c r="G46" s="9"/>
      <c r="H46" s="36"/>
      <c r="I46" s="38"/>
      <c r="J46" s="36"/>
      <c r="K46" s="36"/>
      <c r="L46" s="36"/>
      <c r="M46" s="36"/>
      <c r="N46" s="36"/>
      <c r="O46" s="36"/>
      <c r="P46" s="9"/>
      <c r="Q46" s="36"/>
      <c r="R46" s="9"/>
      <c r="S46" s="9"/>
      <c r="T46" s="39"/>
      <c r="U46" s="39"/>
      <c r="V46" s="36"/>
      <c r="W46" s="9"/>
      <c r="X46" s="9"/>
      <c r="Y46" s="9"/>
      <c r="Z46" s="9"/>
      <c r="AA46" s="9"/>
      <c r="AB46" s="9"/>
      <c r="AC46" s="9"/>
      <c r="AD46" s="37"/>
      <c r="AE46" s="38"/>
      <c r="AF46" s="39"/>
      <c r="AG46" s="39"/>
      <c r="AH46" s="9"/>
      <c r="AI46" s="9"/>
      <c r="AJ46" s="9"/>
      <c r="AK46" s="9"/>
      <c r="AL46" s="9"/>
      <c r="AM46" s="40"/>
      <c r="AN46" s="10" t="str">
        <f aca="false">IF(C46="","",C46&amp;"|"&amp;D46&amp;"|"&amp;E46&amp;"|"&amp;F46&amp;"|"&amp;Y46)</f>
        <v/>
      </c>
    </row>
    <row r="47" customFormat="false" ht="15" hidden="false" customHeight="false" outlineLevel="0" collapsed="false">
      <c r="A47" s="10" t="str">
        <f aca="false">IF(C47="","","RW-"&amp;IFERROR(VLOOKUP(C47,Lists!$M$4:$N$23,2,0),"??")&amp;"-H"&amp;TEXT(D47*1000,"0000")&amp;"-S"&amp;E47&amp;IF(F47="Y","-GW","")&amp;"-"&amp;X47)</f>
        <v/>
      </c>
      <c r="B47" s="10" t="str">
        <f aca="false">IF(C47="","",C47&amp;", H = "&amp;TEXT(D47,"0.0")&amp;" m, q = "&amp;E47&amp;" kPa"&amp;IF(F47="Y",", with GWT",""))</f>
        <v/>
      </c>
      <c r="C47" s="9"/>
      <c r="D47" s="39"/>
      <c r="E47" s="36"/>
      <c r="F47" s="9"/>
      <c r="G47" s="9"/>
      <c r="H47" s="36"/>
      <c r="I47" s="38"/>
      <c r="J47" s="36"/>
      <c r="K47" s="36"/>
      <c r="L47" s="36"/>
      <c r="M47" s="36"/>
      <c r="N47" s="36"/>
      <c r="O47" s="36"/>
      <c r="P47" s="9"/>
      <c r="Q47" s="36"/>
      <c r="R47" s="9"/>
      <c r="S47" s="9"/>
      <c r="T47" s="39"/>
      <c r="U47" s="39"/>
      <c r="V47" s="36"/>
      <c r="W47" s="9"/>
      <c r="X47" s="9"/>
      <c r="Y47" s="9"/>
      <c r="Z47" s="9"/>
      <c r="AA47" s="9"/>
      <c r="AB47" s="9"/>
      <c r="AC47" s="9"/>
      <c r="AD47" s="37"/>
      <c r="AE47" s="38"/>
      <c r="AF47" s="39"/>
      <c r="AG47" s="39"/>
      <c r="AH47" s="9"/>
      <c r="AI47" s="9"/>
      <c r="AJ47" s="9"/>
      <c r="AK47" s="9"/>
      <c r="AL47" s="9"/>
      <c r="AM47" s="40"/>
      <c r="AN47" s="10" t="str">
        <f aca="false">IF(C47="","",C47&amp;"|"&amp;D47&amp;"|"&amp;E47&amp;"|"&amp;F47&amp;"|"&amp;Y47)</f>
        <v/>
      </c>
    </row>
    <row r="48" customFormat="false" ht="15" hidden="false" customHeight="false" outlineLevel="0" collapsed="false">
      <c r="A48" s="10" t="str">
        <f aca="false">IF(C48="","","RW-"&amp;IFERROR(VLOOKUP(C48,Lists!$M$4:$N$23,2,0),"??")&amp;"-H"&amp;TEXT(D48*1000,"0000")&amp;"-S"&amp;E48&amp;IF(F48="Y","-GW","")&amp;"-"&amp;X48)</f>
        <v/>
      </c>
      <c r="B48" s="10" t="str">
        <f aca="false">IF(C48="","",C48&amp;", H = "&amp;TEXT(D48,"0.0")&amp;" m, q = "&amp;E48&amp;" kPa"&amp;IF(F48="Y",", with GWT",""))</f>
        <v/>
      </c>
      <c r="C48" s="9"/>
      <c r="D48" s="39"/>
      <c r="E48" s="36"/>
      <c r="F48" s="9"/>
      <c r="G48" s="9"/>
      <c r="H48" s="36"/>
      <c r="I48" s="38"/>
      <c r="J48" s="36"/>
      <c r="K48" s="36"/>
      <c r="L48" s="36"/>
      <c r="M48" s="36"/>
      <c r="N48" s="36"/>
      <c r="O48" s="36"/>
      <c r="P48" s="9"/>
      <c r="Q48" s="36"/>
      <c r="R48" s="9"/>
      <c r="S48" s="9"/>
      <c r="T48" s="39"/>
      <c r="U48" s="39"/>
      <c r="V48" s="36"/>
      <c r="W48" s="9"/>
      <c r="X48" s="9"/>
      <c r="Y48" s="9"/>
      <c r="Z48" s="9"/>
      <c r="AA48" s="9"/>
      <c r="AB48" s="9"/>
      <c r="AC48" s="9"/>
      <c r="AD48" s="37"/>
      <c r="AE48" s="38"/>
      <c r="AF48" s="39"/>
      <c r="AG48" s="39"/>
      <c r="AH48" s="9"/>
      <c r="AI48" s="9"/>
      <c r="AJ48" s="9"/>
      <c r="AK48" s="9"/>
      <c r="AL48" s="9"/>
      <c r="AM48" s="40"/>
      <c r="AN48" s="10" t="str">
        <f aca="false">IF(C48="","",C48&amp;"|"&amp;D48&amp;"|"&amp;E48&amp;"|"&amp;F48&amp;"|"&amp;Y48)</f>
        <v/>
      </c>
    </row>
    <row r="49" customFormat="false" ht="15" hidden="false" customHeight="false" outlineLevel="0" collapsed="false">
      <c r="A49" s="10" t="str">
        <f aca="false">IF(C49="","","RW-"&amp;IFERROR(VLOOKUP(C49,Lists!$M$4:$N$23,2,0),"??")&amp;"-H"&amp;TEXT(D49*1000,"0000")&amp;"-S"&amp;E49&amp;IF(F49="Y","-GW","")&amp;"-"&amp;X49)</f>
        <v/>
      </c>
      <c r="B49" s="10" t="str">
        <f aca="false">IF(C49="","",C49&amp;", H = "&amp;TEXT(D49,"0.0")&amp;" m, q = "&amp;E49&amp;" kPa"&amp;IF(F49="Y",", with GWT",""))</f>
        <v/>
      </c>
      <c r="C49" s="9"/>
      <c r="D49" s="39"/>
      <c r="E49" s="36"/>
      <c r="F49" s="9"/>
      <c r="G49" s="9"/>
      <c r="H49" s="36"/>
      <c r="I49" s="38"/>
      <c r="J49" s="36"/>
      <c r="K49" s="36"/>
      <c r="L49" s="36"/>
      <c r="M49" s="36"/>
      <c r="N49" s="36"/>
      <c r="O49" s="36"/>
      <c r="P49" s="9"/>
      <c r="Q49" s="36"/>
      <c r="R49" s="9"/>
      <c r="S49" s="9"/>
      <c r="T49" s="39"/>
      <c r="U49" s="39"/>
      <c r="V49" s="36"/>
      <c r="W49" s="9"/>
      <c r="X49" s="9"/>
      <c r="Y49" s="9"/>
      <c r="Z49" s="9"/>
      <c r="AA49" s="9"/>
      <c r="AB49" s="9"/>
      <c r="AC49" s="9"/>
      <c r="AD49" s="37"/>
      <c r="AE49" s="38"/>
      <c r="AF49" s="39"/>
      <c r="AG49" s="39"/>
      <c r="AH49" s="9"/>
      <c r="AI49" s="9"/>
      <c r="AJ49" s="9"/>
      <c r="AK49" s="9"/>
      <c r="AL49" s="9"/>
      <c r="AM49" s="40"/>
      <c r="AN49" s="10" t="str">
        <f aca="false">IF(C49="","",C49&amp;"|"&amp;D49&amp;"|"&amp;E49&amp;"|"&amp;F49&amp;"|"&amp;Y49)</f>
        <v/>
      </c>
    </row>
    <row r="50" customFormat="false" ht="15" hidden="false" customHeight="false" outlineLevel="0" collapsed="false">
      <c r="A50" s="10" t="str">
        <f aca="false">IF(C50="","","RW-"&amp;IFERROR(VLOOKUP(C50,Lists!$M$4:$N$23,2,0),"??")&amp;"-H"&amp;TEXT(D50*1000,"0000")&amp;"-S"&amp;E50&amp;IF(F50="Y","-GW","")&amp;"-"&amp;X50)</f>
        <v/>
      </c>
      <c r="B50" s="10" t="str">
        <f aca="false">IF(C50="","",C50&amp;", H = "&amp;TEXT(D50,"0.0")&amp;" m, q = "&amp;E50&amp;" kPa"&amp;IF(F50="Y",", with GWT",""))</f>
        <v/>
      </c>
      <c r="C50" s="9"/>
      <c r="D50" s="39"/>
      <c r="E50" s="36"/>
      <c r="F50" s="9"/>
      <c r="G50" s="9"/>
      <c r="H50" s="36"/>
      <c r="I50" s="38"/>
      <c r="J50" s="36"/>
      <c r="K50" s="36"/>
      <c r="L50" s="36"/>
      <c r="M50" s="36"/>
      <c r="N50" s="36"/>
      <c r="O50" s="36"/>
      <c r="P50" s="9"/>
      <c r="Q50" s="36"/>
      <c r="R50" s="9"/>
      <c r="S50" s="9"/>
      <c r="T50" s="39"/>
      <c r="U50" s="39"/>
      <c r="V50" s="36"/>
      <c r="W50" s="9"/>
      <c r="X50" s="9"/>
      <c r="Y50" s="9"/>
      <c r="Z50" s="9"/>
      <c r="AA50" s="9"/>
      <c r="AB50" s="9"/>
      <c r="AC50" s="9"/>
      <c r="AD50" s="37"/>
      <c r="AE50" s="38"/>
      <c r="AF50" s="39"/>
      <c r="AG50" s="39"/>
      <c r="AH50" s="9"/>
      <c r="AI50" s="9"/>
      <c r="AJ50" s="9"/>
      <c r="AK50" s="9"/>
      <c r="AL50" s="9"/>
      <c r="AM50" s="40"/>
      <c r="AN50" s="10" t="str">
        <f aca="false">IF(C50="","",C50&amp;"|"&amp;D50&amp;"|"&amp;E50&amp;"|"&amp;F50&amp;"|"&amp;Y50)</f>
        <v/>
      </c>
    </row>
    <row r="51" customFormat="false" ht="15" hidden="false" customHeight="false" outlineLevel="0" collapsed="false">
      <c r="A51" s="10" t="str">
        <f aca="false">IF(C51="","","RW-"&amp;IFERROR(VLOOKUP(C51,Lists!$M$4:$N$23,2,0),"??")&amp;"-H"&amp;TEXT(D51*1000,"0000")&amp;"-S"&amp;E51&amp;IF(F51="Y","-GW","")&amp;"-"&amp;X51)</f>
        <v/>
      </c>
      <c r="B51" s="10" t="str">
        <f aca="false">IF(C51="","",C51&amp;", H = "&amp;TEXT(D51,"0.0")&amp;" m, q = "&amp;E51&amp;" kPa"&amp;IF(F51="Y",", with GWT",""))</f>
        <v/>
      </c>
      <c r="C51" s="9"/>
      <c r="D51" s="39"/>
      <c r="E51" s="36"/>
      <c r="F51" s="9"/>
      <c r="G51" s="9"/>
      <c r="H51" s="36"/>
      <c r="I51" s="38"/>
      <c r="J51" s="36"/>
      <c r="K51" s="36"/>
      <c r="L51" s="36"/>
      <c r="M51" s="36"/>
      <c r="N51" s="36"/>
      <c r="O51" s="36"/>
      <c r="P51" s="9"/>
      <c r="Q51" s="36"/>
      <c r="R51" s="9"/>
      <c r="S51" s="9"/>
      <c r="T51" s="39"/>
      <c r="U51" s="39"/>
      <c r="V51" s="36"/>
      <c r="W51" s="9"/>
      <c r="X51" s="9"/>
      <c r="Y51" s="9"/>
      <c r="Z51" s="9"/>
      <c r="AA51" s="9"/>
      <c r="AB51" s="9"/>
      <c r="AC51" s="9"/>
      <c r="AD51" s="37"/>
      <c r="AE51" s="38"/>
      <c r="AF51" s="39"/>
      <c r="AG51" s="39"/>
      <c r="AH51" s="9"/>
      <c r="AI51" s="9"/>
      <c r="AJ51" s="9"/>
      <c r="AK51" s="9"/>
      <c r="AL51" s="9"/>
      <c r="AM51" s="40"/>
      <c r="AN51" s="10" t="str">
        <f aca="false">IF(C51="","",C51&amp;"|"&amp;D51&amp;"|"&amp;E51&amp;"|"&amp;F51&amp;"|"&amp;Y51)</f>
        <v/>
      </c>
    </row>
    <row r="52" customFormat="false" ht="15" hidden="false" customHeight="false" outlineLevel="0" collapsed="false">
      <c r="A52" s="10" t="str">
        <f aca="false">IF(C52="","","RW-"&amp;IFERROR(VLOOKUP(C52,Lists!$M$4:$N$23,2,0),"??")&amp;"-H"&amp;TEXT(D52*1000,"0000")&amp;"-S"&amp;E52&amp;IF(F52="Y","-GW","")&amp;"-"&amp;X52)</f>
        <v/>
      </c>
      <c r="B52" s="10" t="str">
        <f aca="false">IF(C52="","",C52&amp;", H = "&amp;TEXT(D52,"0.0")&amp;" m, q = "&amp;E52&amp;" kPa"&amp;IF(F52="Y",", with GWT",""))</f>
        <v/>
      </c>
      <c r="C52" s="9"/>
      <c r="D52" s="39"/>
      <c r="E52" s="36"/>
      <c r="F52" s="9"/>
      <c r="G52" s="9"/>
      <c r="H52" s="36"/>
      <c r="I52" s="38"/>
      <c r="J52" s="36"/>
      <c r="K52" s="36"/>
      <c r="L52" s="36"/>
      <c r="M52" s="36"/>
      <c r="N52" s="36"/>
      <c r="O52" s="36"/>
      <c r="P52" s="9"/>
      <c r="Q52" s="36"/>
      <c r="R52" s="9"/>
      <c r="S52" s="9"/>
      <c r="T52" s="39"/>
      <c r="U52" s="39"/>
      <c r="V52" s="36"/>
      <c r="W52" s="9"/>
      <c r="X52" s="9"/>
      <c r="Y52" s="9"/>
      <c r="Z52" s="9"/>
      <c r="AA52" s="9"/>
      <c r="AB52" s="9"/>
      <c r="AC52" s="9"/>
      <c r="AD52" s="37"/>
      <c r="AE52" s="38"/>
      <c r="AF52" s="39"/>
      <c r="AG52" s="39"/>
      <c r="AH52" s="9"/>
      <c r="AI52" s="9"/>
      <c r="AJ52" s="9"/>
      <c r="AK52" s="9"/>
      <c r="AL52" s="9"/>
      <c r="AM52" s="40"/>
      <c r="AN52" s="10" t="str">
        <f aca="false">IF(C52="","",C52&amp;"|"&amp;D52&amp;"|"&amp;E52&amp;"|"&amp;F52&amp;"|"&amp;Y52)</f>
        <v/>
      </c>
    </row>
    <row r="53" customFormat="false" ht="15" hidden="false" customHeight="false" outlineLevel="0" collapsed="false">
      <c r="A53" s="10" t="str">
        <f aca="false">IF(C53="","","RW-"&amp;IFERROR(VLOOKUP(C53,Lists!$M$4:$N$23,2,0),"??")&amp;"-H"&amp;TEXT(D53*1000,"0000")&amp;"-S"&amp;E53&amp;IF(F53="Y","-GW","")&amp;"-"&amp;X53)</f>
        <v/>
      </c>
      <c r="B53" s="10" t="str">
        <f aca="false">IF(C53="","",C53&amp;", H = "&amp;TEXT(D53,"0.0")&amp;" m, q = "&amp;E53&amp;" kPa"&amp;IF(F53="Y",", with GWT",""))</f>
        <v/>
      </c>
      <c r="C53" s="9"/>
      <c r="D53" s="39"/>
      <c r="E53" s="36"/>
      <c r="F53" s="9"/>
      <c r="G53" s="9"/>
      <c r="H53" s="36"/>
      <c r="I53" s="38"/>
      <c r="J53" s="36"/>
      <c r="K53" s="36"/>
      <c r="L53" s="36"/>
      <c r="M53" s="36"/>
      <c r="N53" s="36"/>
      <c r="O53" s="36"/>
      <c r="P53" s="9"/>
      <c r="Q53" s="36"/>
      <c r="R53" s="9"/>
      <c r="S53" s="9"/>
      <c r="T53" s="39"/>
      <c r="U53" s="39"/>
      <c r="V53" s="36"/>
      <c r="W53" s="9"/>
      <c r="X53" s="9"/>
      <c r="Y53" s="9"/>
      <c r="Z53" s="9"/>
      <c r="AA53" s="9"/>
      <c r="AB53" s="9"/>
      <c r="AC53" s="9"/>
      <c r="AD53" s="37"/>
      <c r="AE53" s="38"/>
      <c r="AF53" s="39"/>
      <c r="AG53" s="39"/>
      <c r="AH53" s="9"/>
      <c r="AI53" s="9"/>
      <c r="AJ53" s="9"/>
      <c r="AK53" s="9"/>
      <c r="AL53" s="9"/>
      <c r="AM53" s="40"/>
      <c r="AN53" s="10" t="str">
        <f aca="false">IF(C53="","",C53&amp;"|"&amp;D53&amp;"|"&amp;E53&amp;"|"&amp;F53&amp;"|"&amp;Y53)</f>
        <v/>
      </c>
    </row>
    <row r="54" customFormat="false" ht="15" hidden="false" customHeight="false" outlineLevel="0" collapsed="false">
      <c r="A54" s="10" t="str">
        <f aca="false">IF(C54="","","RW-"&amp;IFERROR(VLOOKUP(C54,Lists!$M$4:$N$23,2,0),"??")&amp;"-H"&amp;TEXT(D54*1000,"0000")&amp;"-S"&amp;E54&amp;IF(F54="Y","-GW","")&amp;"-"&amp;X54)</f>
        <v/>
      </c>
      <c r="B54" s="10" t="str">
        <f aca="false">IF(C54="","",C54&amp;", H = "&amp;TEXT(D54,"0.0")&amp;" m, q = "&amp;E54&amp;" kPa"&amp;IF(F54="Y",", with GWT",""))</f>
        <v/>
      </c>
      <c r="C54" s="9"/>
      <c r="D54" s="39"/>
      <c r="E54" s="36"/>
      <c r="F54" s="9"/>
      <c r="G54" s="9"/>
      <c r="H54" s="36"/>
      <c r="I54" s="38"/>
      <c r="J54" s="36"/>
      <c r="K54" s="36"/>
      <c r="L54" s="36"/>
      <c r="M54" s="36"/>
      <c r="N54" s="36"/>
      <c r="O54" s="36"/>
      <c r="P54" s="9"/>
      <c r="Q54" s="36"/>
      <c r="R54" s="9"/>
      <c r="S54" s="9"/>
      <c r="T54" s="39"/>
      <c r="U54" s="39"/>
      <c r="V54" s="36"/>
      <c r="W54" s="9"/>
      <c r="X54" s="9"/>
      <c r="Y54" s="9"/>
      <c r="Z54" s="9"/>
      <c r="AA54" s="9"/>
      <c r="AB54" s="9"/>
      <c r="AC54" s="9"/>
      <c r="AD54" s="37"/>
      <c r="AE54" s="38"/>
      <c r="AF54" s="39"/>
      <c r="AG54" s="39"/>
      <c r="AH54" s="9"/>
      <c r="AI54" s="9"/>
      <c r="AJ54" s="9"/>
      <c r="AK54" s="9"/>
      <c r="AL54" s="9"/>
      <c r="AM54" s="40"/>
      <c r="AN54" s="10" t="str">
        <f aca="false">IF(C54="","",C54&amp;"|"&amp;D54&amp;"|"&amp;E54&amp;"|"&amp;F54&amp;"|"&amp;Y54)</f>
        <v/>
      </c>
    </row>
    <row r="55" customFormat="false" ht="15" hidden="false" customHeight="false" outlineLevel="0" collapsed="false">
      <c r="A55" s="10" t="str">
        <f aca="false">IF(C55="","","RW-"&amp;IFERROR(VLOOKUP(C55,Lists!$M$4:$N$23,2,0),"??")&amp;"-H"&amp;TEXT(D55*1000,"0000")&amp;"-S"&amp;E55&amp;IF(F55="Y","-GW","")&amp;"-"&amp;X55)</f>
        <v/>
      </c>
      <c r="B55" s="10" t="str">
        <f aca="false">IF(C55="","",C55&amp;", H = "&amp;TEXT(D55,"0.0")&amp;" m, q = "&amp;E55&amp;" kPa"&amp;IF(F55="Y",", with GWT",""))</f>
        <v/>
      </c>
      <c r="C55" s="9"/>
      <c r="D55" s="39"/>
      <c r="E55" s="36"/>
      <c r="F55" s="9"/>
      <c r="G55" s="9"/>
      <c r="H55" s="36"/>
      <c r="I55" s="38"/>
      <c r="J55" s="36"/>
      <c r="K55" s="36"/>
      <c r="L55" s="36"/>
      <c r="M55" s="36"/>
      <c r="N55" s="36"/>
      <c r="O55" s="36"/>
      <c r="P55" s="9"/>
      <c r="Q55" s="36"/>
      <c r="R55" s="9"/>
      <c r="S55" s="9"/>
      <c r="T55" s="39"/>
      <c r="U55" s="39"/>
      <c r="V55" s="36"/>
      <c r="W55" s="9"/>
      <c r="X55" s="9"/>
      <c r="Y55" s="9"/>
      <c r="Z55" s="9"/>
      <c r="AA55" s="9"/>
      <c r="AB55" s="9"/>
      <c r="AC55" s="9"/>
      <c r="AD55" s="37"/>
      <c r="AE55" s="38"/>
      <c r="AF55" s="39"/>
      <c r="AG55" s="39"/>
      <c r="AH55" s="9"/>
      <c r="AI55" s="9"/>
      <c r="AJ55" s="9"/>
      <c r="AK55" s="9"/>
      <c r="AL55" s="9"/>
      <c r="AM55" s="40"/>
      <c r="AN55" s="10" t="str">
        <f aca="false">IF(C55="","",C55&amp;"|"&amp;D55&amp;"|"&amp;E55&amp;"|"&amp;F55&amp;"|"&amp;Y55)</f>
        <v/>
      </c>
    </row>
    <row r="56" customFormat="false" ht="15" hidden="false" customHeight="false" outlineLevel="0" collapsed="false">
      <c r="A56" s="10" t="str">
        <f aca="false">IF(C56="","","RW-"&amp;IFERROR(VLOOKUP(C56,Lists!$M$4:$N$23,2,0),"??")&amp;"-H"&amp;TEXT(D56*1000,"0000")&amp;"-S"&amp;E56&amp;IF(F56="Y","-GW","")&amp;"-"&amp;X56)</f>
        <v/>
      </c>
      <c r="B56" s="10" t="str">
        <f aca="false">IF(C56="","",C56&amp;", H = "&amp;TEXT(D56,"0.0")&amp;" m, q = "&amp;E56&amp;" kPa"&amp;IF(F56="Y",", with GWT",""))</f>
        <v/>
      </c>
      <c r="C56" s="9"/>
      <c r="D56" s="39"/>
      <c r="E56" s="36"/>
      <c r="F56" s="9"/>
      <c r="G56" s="9"/>
      <c r="H56" s="36"/>
      <c r="I56" s="38"/>
      <c r="J56" s="36"/>
      <c r="K56" s="36"/>
      <c r="L56" s="36"/>
      <c r="M56" s="36"/>
      <c r="N56" s="36"/>
      <c r="O56" s="36"/>
      <c r="P56" s="9"/>
      <c r="Q56" s="36"/>
      <c r="R56" s="9"/>
      <c r="S56" s="9"/>
      <c r="T56" s="39"/>
      <c r="U56" s="39"/>
      <c r="V56" s="36"/>
      <c r="W56" s="9"/>
      <c r="X56" s="9"/>
      <c r="Y56" s="9"/>
      <c r="Z56" s="9"/>
      <c r="AA56" s="9"/>
      <c r="AB56" s="9"/>
      <c r="AC56" s="9"/>
      <c r="AD56" s="37"/>
      <c r="AE56" s="38"/>
      <c r="AF56" s="39"/>
      <c r="AG56" s="39"/>
      <c r="AH56" s="9"/>
      <c r="AI56" s="9"/>
      <c r="AJ56" s="9"/>
      <c r="AK56" s="9"/>
      <c r="AL56" s="9"/>
      <c r="AM56" s="40"/>
      <c r="AN56" s="10" t="str">
        <f aca="false">IF(C56="","",C56&amp;"|"&amp;D56&amp;"|"&amp;E56&amp;"|"&amp;F56&amp;"|"&amp;Y56)</f>
        <v/>
      </c>
    </row>
    <row r="57" customFormat="false" ht="15" hidden="false" customHeight="false" outlineLevel="0" collapsed="false">
      <c r="A57" s="10" t="str">
        <f aca="false">IF(C57="","","RW-"&amp;IFERROR(VLOOKUP(C57,Lists!$M$4:$N$23,2,0),"??")&amp;"-H"&amp;TEXT(D57*1000,"0000")&amp;"-S"&amp;E57&amp;IF(F57="Y","-GW","")&amp;"-"&amp;X57)</f>
        <v/>
      </c>
      <c r="B57" s="10" t="str">
        <f aca="false">IF(C57="","",C57&amp;", H = "&amp;TEXT(D57,"0.0")&amp;" m, q = "&amp;E57&amp;" kPa"&amp;IF(F57="Y",", with GWT",""))</f>
        <v/>
      </c>
      <c r="C57" s="9"/>
      <c r="D57" s="39"/>
      <c r="E57" s="36"/>
      <c r="F57" s="9"/>
      <c r="G57" s="9"/>
      <c r="H57" s="36"/>
      <c r="I57" s="38"/>
      <c r="J57" s="36"/>
      <c r="K57" s="36"/>
      <c r="L57" s="36"/>
      <c r="M57" s="36"/>
      <c r="N57" s="36"/>
      <c r="O57" s="36"/>
      <c r="P57" s="9"/>
      <c r="Q57" s="36"/>
      <c r="R57" s="9"/>
      <c r="S57" s="9"/>
      <c r="T57" s="39"/>
      <c r="U57" s="39"/>
      <c r="V57" s="36"/>
      <c r="W57" s="9"/>
      <c r="X57" s="9"/>
      <c r="Y57" s="9"/>
      <c r="Z57" s="9"/>
      <c r="AA57" s="9"/>
      <c r="AB57" s="9"/>
      <c r="AC57" s="9"/>
      <c r="AD57" s="37"/>
      <c r="AE57" s="38"/>
      <c r="AF57" s="39"/>
      <c r="AG57" s="39"/>
      <c r="AH57" s="9"/>
      <c r="AI57" s="9"/>
      <c r="AJ57" s="9"/>
      <c r="AK57" s="9"/>
      <c r="AL57" s="9"/>
      <c r="AM57" s="40"/>
      <c r="AN57" s="10" t="str">
        <f aca="false">IF(C57="","",C57&amp;"|"&amp;D57&amp;"|"&amp;E57&amp;"|"&amp;F57&amp;"|"&amp;Y57)</f>
        <v/>
      </c>
    </row>
    <row r="58" customFormat="false" ht="15" hidden="false" customHeight="false" outlineLevel="0" collapsed="false">
      <c r="A58" s="10" t="str">
        <f aca="false">IF(C58="","","RW-"&amp;IFERROR(VLOOKUP(C58,Lists!$M$4:$N$23,2,0),"??")&amp;"-H"&amp;TEXT(D58*1000,"0000")&amp;"-S"&amp;E58&amp;IF(F58="Y","-GW","")&amp;"-"&amp;X58)</f>
        <v/>
      </c>
      <c r="B58" s="10" t="str">
        <f aca="false">IF(C58="","",C58&amp;", H = "&amp;TEXT(D58,"0.0")&amp;" m, q = "&amp;E58&amp;" kPa"&amp;IF(F58="Y",", with GWT",""))</f>
        <v/>
      </c>
      <c r="C58" s="9"/>
      <c r="D58" s="39"/>
      <c r="E58" s="36"/>
      <c r="F58" s="9"/>
      <c r="G58" s="9"/>
      <c r="H58" s="36"/>
      <c r="I58" s="38"/>
      <c r="J58" s="36"/>
      <c r="K58" s="36"/>
      <c r="L58" s="36"/>
      <c r="M58" s="36"/>
      <c r="N58" s="36"/>
      <c r="O58" s="36"/>
      <c r="P58" s="9"/>
      <c r="Q58" s="36"/>
      <c r="R58" s="9"/>
      <c r="S58" s="9"/>
      <c r="T58" s="39"/>
      <c r="U58" s="39"/>
      <c r="V58" s="36"/>
      <c r="W58" s="9"/>
      <c r="X58" s="9"/>
      <c r="Y58" s="9"/>
      <c r="Z58" s="9"/>
      <c r="AA58" s="9"/>
      <c r="AB58" s="9"/>
      <c r="AC58" s="9"/>
      <c r="AD58" s="37"/>
      <c r="AE58" s="38"/>
      <c r="AF58" s="39"/>
      <c r="AG58" s="39"/>
      <c r="AH58" s="9"/>
      <c r="AI58" s="9"/>
      <c r="AJ58" s="9"/>
      <c r="AK58" s="9"/>
      <c r="AL58" s="9"/>
      <c r="AM58" s="40"/>
      <c r="AN58" s="10" t="str">
        <f aca="false">IF(C58="","",C58&amp;"|"&amp;D58&amp;"|"&amp;E58&amp;"|"&amp;F58&amp;"|"&amp;Y58)</f>
        <v/>
      </c>
    </row>
    <row r="59" customFormat="false" ht="15" hidden="false" customHeight="false" outlineLevel="0" collapsed="false">
      <c r="A59" s="10" t="str">
        <f aca="false">IF(C59="","","RW-"&amp;IFERROR(VLOOKUP(C59,Lists!$M$4:$N$23,2,0),"??")&amp;"-H"&amp;TEXT(D59*1000,"0000")&amp;"-S"&amp;E59&amp;IF(F59="Y","-GW","")&amp;"-"&amp;X59)</f>
        <v/>
      </c>
      <c r="B59" s="10" t="str">
        <f aca="false">IF(C59="","",C59&amp;", H = "&amp;TEXT(D59,"0.0")&amp;" m, q = "&amp;E59&amp;" kPa"&amp;IF(F59="Y",", with GWT",""))</f>
        <v/>
      </c>
      <c r="C59" s="9"/>
      <c r="D59" s="39"/>
      <c r="E59" s="36"/>
      <c r="F59" s="9"/>
      <c r="G59" s="9"/>
      <c r="H59" s="36"/>
      <c r="I59" s="38"/>
      <c r="J59" s="36"/>
      <c r="K59" s="36"/>
      <c r="L59" s="36"/>
      <c r="M59" s="36"/>
      <c r="N59" s="36"/>
      <c r="O59" s="36"/>
      <c r="P59" s="9"/>
      <c r="Q59" s="36"/>
      <c r="R59" s="9"/>
      <c r="S59" s="9"/>
      <c r="T59" s="39"/>
      <c r="U59" s="39"/>
      <c r="V59" s="36"/>
      <c r="W59" s="9"/>
      <c r="X59" s="9"/>
      <c r="Y59" s="9"/>
      <c r="Z59" s="9"/>
      <c r="AA59" s="9"/>
      <c r="AB59" s="9"/>
      <c r="AC59" s="9"/>
      <c r="AD59" s="37"/>
      <c r="AE59" s="38"/>
      <c r="AF59" s="39"/>
      <c r="AG59" s="39"/>
      <c r="AH59" s="9"/>
      <c r="AI59" s="9"/>
      <c r="AJ59" s="9"/>
      <c r="AK59" s="9"/>
      <c r="AL59" s="9"/>
      <c r="AM59" s="40"/>
      <c r="AN59" s="10" t="str">
        <f aca="false">IF(C59="","",C59&amp;"|"&amp;D59&amp;"|"&amp;E59&amp;"|"&amp;F59&amp;"|"&amp;Y59)</f>
        <v/>
      </c>
    </row>
    <row r="60" customFormat="false" ht="15" hidden="false" customHeight="false" outlineLevel="0" collapsed="false">
      <c r="A60" s="10" t="str">
        <f aca="false">IF(C60="","","RW-"&amp;IFERROR(VLOOKUP(C60,Lists!$M$4:$N$23,2,0),"??")&amp;"-H"&amp;TEXT(D60*1000,"0000")&amp;"-S"&amp;E60&amp;IF(F60="Y","-GW","")&amp;"-"&amp;X60)</f>
        <v/>
      </c>
      <c r="B60" s="10" t="str">
        <f aca="false">IF(C60="","",C60&amp;", H = "&amp;TEXT(D60,"0.0")&amp;" m, q = "&amp;E60&amp;" kPa"&amp;IF(F60="Y",", with GWT",""))</f>
        <v/>
      </c>
      <c r="C60" s="9"/>
      <c r="D60" s="39"/>
      <c r="E60" s="36"/>
      <c r="F60" s="9"/>
      <c r="G60" s="9"/>
      <c r="H60" s="36"/>
      <c r="I60" s="38"/>
      <c r="J60" s="36"/>
      <c r="K60" s="36"/>
      <c r="L60" s="36"/>
      <c r="M60" s="36"/>
      <c r="N60" s="36"/>
      <c r="O60" s="36"/>
      <c r="P60" s="9"/>
      <c r="Q60" s="36"/>
      <c r="R60" s="9"/>
      <c r="S60" s="9"/>
      <c r="T60" s="39"/>
      <c r="U60" s="39"/>
      <c r="V60" s="36"/>
      <c r="W60" s="9"/>
      <c r="X60" s="9"/>
      <c r="Y60" s="9"/>
      <c r="Z60" s="9"/>
      <c r="AA60" s="9"/>
      <c r="AB60" s="9"/>
      <c r="AC60" s="9"/>
      <c r="AD60" s="37"/>
      <c r="AE60" s="38"/>
      <c r="AF60" s="39"/>
      <c r="AG60" s="39"/>
      <c r="AH60" s="9"/>
      <c r="AI60" s="9"/>
      <c r="AJ60" s="9"/>
      <c r="AK60" s="9"/>
      <c r="AL60" s="9"/>
      <c r="AM60" s="40"/>
      <c r="AN60" s="10" t="str">
        <f aca="false">IF(C60="","",C60&amp;"|"&amp;D60&amp;"|"&amp;E60&amp;"|"&amp;F60&amp;"|"&amp;Y60)</f>
        <v/>
      </c>
    </row>
    <row r="61" customFormat="false" ht="15" hidden="false" customHeight="false" outlineLevel="0" collapsed="false">
      <c r="A61" s="10" t="str">
        <f aca="false">IF(C61="","","RW-"&amp;IFERROR(VLOOKUP(C61,Lists!$M$4:$N$23,2,0),"??")&amp;"-H"&amp;TEXT(D61*1000,"0000")&amp;"-S"&amp;E61&amp;IF(F61="Y","-GW","")&amp;"-"&amp;X61)</f>
        <v/>
      </c>
      <c r="B61" s="10" t="str">
        <f aca="false">IF(C61="","",C61&amp;", H = "&amp;TEXT(D61,"0.0")&amp;" m, q = "&amp;E61&amp;" kPa"&amp;IF(F61="Y",", with GWT",""))</f>
        <v/>
      </c>
      <c r="C61" s="9"/>
      <c r="D61" s="39"/>
      <c r="E61" s="36"/>
      <c r="F61" s="9"/>
      <c r="G61" s="9"/>
      <c r="H61" s="36"/>
      <c r="I61" s="38"/>
      <c r="J61" s="36"/>
      <c r="K61" s="36"/>
      <c r="L61" s="36"/>
      <c r="M61" s="36"/>
      <c r="N61" s="36"/>
      <c r="O61" s="36"/>
      <c r="P61" s="9"/>
      <c r="Q61" s="36"/>
      <c r="R61" s="9"/>
      <c r="S61" s="9"/>
      <c r="T61" s="39"/>
      <c r="U61" s="39"/>
      <c r="V61" s="36"/>
      <c r="W61" s="9"/>
      <c r="X61" s="9"/>
      <c r="Y61" s="9"/>
      <c r="Z61" s="9"/>
      <c r="AA61" s="9"/>
      <c r="AB61" s="9"/>
      <c r="AC61" s="9"/>
      <c r="AD61" s="37"/>
      <c r="AE61" s="38"/>
      <c r="AF61" s="39"/>
      <c r="AG61" s="39"/>
      <c r="AH61" s="9"/>
      <c r="AI61" s="9"/>
      <c r="AJ61" s="9"/>
      <c r="AK61" s="9"/>
      <c r="AL61" s="9"/>
      <c r="AM61" s="40"/>
      <c r="AN61" s="10" t="str">
        <f aca="false">IF(C61="","",C61&amp;"|"&amp;D61&amp;"|"&amp;E61&amp;"|"&amp;F61&amp;"|"&amp;Y61)</f>
        <v/>
      </c>
    </row>
    <row r="62" customFormat="false" ht="15" hidden="false" customHeight="false" outlineLevel="0" collapsed="false">
      <c r="A62" s="10" t="str">
        <f aca="false">IF(C62="","","RW-"&amp;IFERROR(VLOOKUP(C62,Lists!$M$4:$N$23,2,0),"??")&amp;"-H"&amp;TEXT(D62*1000,"0000")&amp;"-S"&amp;E62&amp;IF(F62="Y","-GW","")&amp;"-"&amp;X62)</f>
        <v/>
      </c>
      <c r="B62" s="10" t="str">
        <f aca="false">IF(C62="","",C62&amp;", H = "&amp;TEXT(D62,"0.0")&amp;" m, q = "&amp;E62&amp;" kPa"&amp;IF(F62="Y",", with GWT",""))</f>
        <v/>
      </c>
      <c r="C62" s="9"/>
      <c r="D62" s="39"/>
      <c r="E62" s="36"/>
      <c r="F62" s="9"/>
      <c r="G62" s="9"/>
      <c r="H62" s="36"/>
      <c r="I62" s="38"/>
      <c r="J62" s="36"/>
      <c r="K62" s="36"/>
      <c r="L62" s="36"/>
      <c r="M62" s="36"/>
      <c r="N62" s="36"/>
      <c r="O62" s="36"/>
      <c r="P62" s="9"/>
      <c r="Q62" s="36"/>
      <c r="R62" s="9"/>
      <c r="S62" s="9"/>
      <c r="T62" s="39"/>
      <c r="U62" s="39"/>
      <c r="V62" s="36"/>
      <c r="W62" s="9"/>
      <c r="X62" s="9"/>
      <c r="Y62" s="9"/>
      <c r="Z62" s="9"/>
      <c r="AA62" s="9"/>
      <c r="AB62" s="9"/>
      <c r="AC62" s="9"/>
      <c r="AD62" s="37"/>
      <c r="AE62" s="38"/>
      <c r="AF62" s="39"/>
      <c r="AG62" s="39"/>
      <c r="AH62" s="9"/>
      <c r="AI62" s="9"/>
      <c r="AJ62" s="9"/>
      <c r="AK62" s="9"/>
      <c r="AL62" s="9"/>
      <c r="AM62" s="40"/>
      <c r="AN62" s="10" t="str">
        <f aca="false">IF(C62="","",C62&amp;"|"&amp;D62&amp;"|"&amp;E62&amp;"|"&amp;F62&amp;"|"&amp;Y62)</f>
        <v/>
      </c>
    </row>
    <row r="63" customFormat="false" ht="15" hidden="false" customHeight="false" outlineLevel="0" collapsed="false">
      <c r="A63" s="10" t="str">
        <f aca="false">IF(C63="","","RW-"&amp;IFERROR(VLOOKUP(C63,Lists!$M$4:$N$23,2,0),"??")&amp;"-H"&amp;TEXT(D63*1000,"0000")&amp;"-S"&amp;E63&amp;IF(F63="Y","-GW","")&amp;"-"&amp;X63)</f>
        <v/>
      </c>
      <c r="B63" s="10" t="str">
        <f aca="false">IF(C63="","",C63&amp;", H = "&amp;TEXT(D63,"0.0")&amp;" m, q = "&amp;E63&amp;" kPa"&amp;IF(F63="Y",", with GWT",""))</f>
        <v/>
      </c>
      <c r="C63" s="9"/>
      <c r="D63" s="39"/>
      <c r="E63" s="36"/>
      <c r="F63" s="9"/>
      <c r="G63" s="9"/>
      <c r="H63" s="36"/>
      <c r="I63" s="38"/>
      <c r="J63" s="36"/>
      <c r="K63" s="36"/>
      <c r="L63" s="36"/>
      <c r="M63" s="36"/>
      <c r="N63" s="36"/>
      <c r="O63" s="36"/>
      <c r="P63" s="9"/>
      <c r="Q63" s="36"/>
      <c r="R63" s="9"/>
      <c r="S63" s="9"/>
      <c r="T63" s="39"/>
      <c r="U63" s="39"/>
      <c r="V63" s="36"/>
      <c r="W63" s="9"/>
      <c r="X63" s="9"/>
      <c r="Y63" s="9"/>
      <c r="Z63" s="9"/>
      <c r="AA63" s="9"/>
      <c r="AB63" s="9"/>
      <c r="AC63" s="9"/>
      <c r="AD63" s="37"/>
      <c r="AE63" s="38"/>
      <c r="AF63" s="39"/>
      <c r="AG63" s="39"/>
      <c r="AH63" s="9"/>
      <c r="AI63" s="9"/>
      <c r="AJ63" s="9"/>
      <c r="AK63" s="9"/>
      <c r="AL63" s="9"/>
      <c r="AM63" s="40"/>
      <c r="AN63" s="10" t="str">
        <f aca="false">IF(C63="","",C63&amp;"|"&amp;D63&amp;"|"&amp;E63&amp;"|"&amp;F63&amp;"|"&amp;Y63)</f>
        <v/>
      </c>
    </row>
    <row r="64" customFormat="false" ht="15" hidden="false" customHeight="false" outlineLevel="0" collapsed="false">
      <c r="A64" s="10" t="str">
        <f aca="false">IF(C64="","","RW-"&amp;IFERROR(VLOOKUP(C64,Lists!$M$4:$N$23,2,0),"??")&amp;"-H"&amp;TEXT(D64*1000,"0000")&amp;"-S"&amp;E64&amp;IF(F64="Y","-GW","")&amp;"-"&amp;X64)</f>
        <v/>
      </c>
      <c r="B64" s="10" t="str">
        <f aca="false">IF(C64="","",C64&amp;", H = "&amp;TEXT(D64,"0.0")&amp;" m, q = "&amp;E64&amp;" kPa"&amp;IF(F64="Y",", with GWT",""))</f>
        <v/>
      </c>
      <c r="C64" s="9"/>
      <c r="D64" s="39"/>
      <c r="E64" s="36"/>
      <c r="F64" s="9"/>
      <c r="G64" s="9"/>
      <c r="H64" s="36"/>
      <c r="I64" s="38"/>
      <c r="J64" s="36"/>
      <c r="K64" s="36"/>
      <c r="L64" s="36"/>
      <c r="M64" s="36"/>
      <c r="N64" s="36"/>
      <c r="O64" s="36"/>
      <c r="P64" s="9"/>
      <c r="Q64" s="36"/>
      <c r="R64" s="9"/>
      <c r="S64" s="9"/>
      <c r="T64" s="39"/>
      <c r="U64" s="39"/>
      <c r="V64" s="36"/>
      <c r="W64" s="9"/>
      <c r="X64" s="9"/>
      <c r="Y64" s="9"/>
      <c r="Z64" s="9"/>
      <c r="AA64" s="9"/>
      <c r="AB64" s="9"/>
      <c r="AC64" s="9"/>
      <c r="AD64" s="37"/>
      <c r="AE64" s="38"/>
      <c r="AF64" s="39"/>
      <c r="AG64" s="39"/>
      <c r="AH64" s="9"/>
      <c r="AI64" s="9"/>
      <c r="AJ64" s="9"/>
      <c r="AK64" s="9"/>
      <c r="AL64" s="9"/>
      <c r="AM64" s="40"/>
      <c r="AN64" s="10" t="str">
        <f aca="false">IF(C64="","",C64&amp;"|"&amp;D64&amp;"|"&amp;E64&amp;"|"&amp;F64&amp;"|"&amp;Y64)</f>
        <v/>
      </c>
    </row>
    <row r="65" customFormat="false" ht="15" hidden="false" customHeight="false" outlineLevel="0" collapsed="false">
      <c r="A65" s="10" t="str">
        <f aca="false">IF(C65="","","RW-"&amp;IFERROR(VLOOKUP(C65,Lists!$M$4:$N$23,2,0),"??")&amp;"-H"&amp;TEXT(D65*1000,"0000")&amp;"-S"&amp;E65&amp;IF(F65="Y","-GW","")&amp;"-"&amp;X65)</f>
        <v/>
      </c>
      <c r="B65" s="10" t="str">
        <f aca="false">IF(C65="","",C65&amp;", H = "&amp;TEXT(D65,"0.0")&amp;" m, q = "&amp;E65&amp;" kPa"&amp;IF(F65="Y",", with GWT",""))</f>
        <v/>
      </c>
      <c r="C65" s="9"/>
      <c r="D65" s="39"/>
      <c r="E65" s="36"/>
      <c r="F65" s="9"/>
      <c r="G65" s="9"/>
      <c r="H65" s="36"/>
      <c r="I65" s="38"/>
      <c r="J65" s="36"/>
      <c r="K65" s="36"/>
      <c r="L65" s="36"/>
      <c r="M65" s="36"/>
      <c r="N65" s="36"/>
      <c r="O65" s="36"/>
      <c r="P65" s="9"/>
      <c r="Q65" s="36"/>
      <c r="R65" s="9"/>
      <c r="S65" s="9"/>
      <c r="T65" s="39"/>
      <c r="U65" s="39"/>
      <c r="V65" s="36"/>
      <c r="W65" s="9"/>
      <c r="X65" s="9"/>
      <c r="Y65" s="9"/>
      <c r="Z65" s="9"/>
      <c r="AA65" s="9"/>
      <c r="AB65" s="9"/>
      <c r="AC65" s="9"/>
      <c r="AD65" s="37"/>
      <c r="AE65" s="38"/>
      <c r="AF65" s="39"/>
      <c r="AG65" s="39"/>
      <c r="AH65" s="9"/>
      <c r="AI65" s="9"/>
      <c r="AJ65" s="9"/>
      <c r="AK65" s="9"/>
      <c r="AL65" s="9"/>
      <c r="AM65" s="40"/>
      <c r="AN65" s="10" t="str">
        <f aca="false">IF(C65="","",C65&amp;"|"&amp;D65&amp;"|"&amp;E65&amp;"|"&amp;F65&amp;"|"&amp;Y65)</f>
        <v/>
      </c>
    </row>
    <row r="66" customFormat="false" ht="15" hidden="false" customHeight="false" outlineLevel="0" collapsed="false">
      <c r="A66" s="10" t="str">
        <f aca="false">IF(C66="","","RW-"&amp;IFERROR(VLOOKUP(C66,Lists!$M$4:$N$23,2,0),"??")&amp;"-H"&amp;TEXT(D66*1000,"0000")&amp;"-S"&amp;E66&amp;IF(F66="Y","-GW","")&amp;"-"&amp;X66)</f>
        <v/>
      </c>
      <c r="B66" s="10" t="str">
        <f aca="false">IF(C66="","",C66&amp;", H = "&amp;TEXT(D66,"0.0")&amp;" m, q = "&amp;E66&amp;" kPa"&amp;IF(F66="Y",", with GWT",""))</f>
        <v/>
      </c>
      <c r="C66" s="9"/>
      <c r="D66" s="39"/>
      <c r="E66" s="36"/>
      <c r="F66" s="9"/>
      <c r="G66" s="9"/>
      <c r="H66" s="36"/>
      <c r="I66" s="38"/>
      <c r="J66" s="36"/>
      <c r="K66" s="36"/>
      <c r="L66" s="36"/>
      <c r="M66" s="36"/>
      <c r="N66" s="36"/>
      <c r="O66" s="36"/>
      <c r="P66" s="9"/>
      <c r="Q66" s="36"/>
      <c r="R66" s="9"/>
      <c r="S66" s="9"/>
      <c r="T66" s="39"/>
      <c r="U66" s="39"/>
      <c r="V66" s="36"/>
      <c r="W66" s="9"/>
      <c r="X66" s="9"/>
      <c r="Y66" s="9"/>
      <c r="Z66" s="9"/>
      <c r="AA66" s="9"/>
      <c r="AB66" s="9"/>
      <c r="AC66" s="9"/>
      <c r="AD66" s="37"/>
      <c r="AE66" s="38"/>
      <c r="AF66" s="39"/>
      <c r="AG66" s="39"/>
      <c r="AH66" s="9"/>
      <c r="AI66" s="9"/>
      <c r="AJ66" s="9"/>
      <c r="AK66" s="9"/>
      <c r="AL66" s="9"/>
      <c r="AM66" s="40"/>
      <c r="AN66" s="10" t="str">
        <f aca="false">IF(C66="","",C66&amp;"|"&amp;D66&amp;"|"&amp;E66&amp;"|"&amp;F66&amp;"|"&amp;Y66)</f>
        <v/>
      </c>
    </row>
    <row r="67" customFormat="false" ht="15" hidden="false" customHeight="false" outlineLevel="0" collapsed="false">
      <c r="A67" s="10" t="str">
        <f aca="false">IF(C67="","","RW-"&amp;IFERROR(VLOOKUP(C67,Lists!$M$4:$N$23,2,0),"??")&amp;"-H"&amp;TEXT(D67*1000,"0000")&amp;"-S"&amp;E67&amp;IF(F67="Y","-GW","")&amp;"-"&amp;X67)</f>
        <v/>
      </c>
      <c r="B67" s="10" t="str">
        <f aca="false">IF(C67="","",C67&amp;", H = "&amp;TEXT(D67,"0.0")&amp;" m, q = "&amp;E67&amp;" kPa"&amp;IF(F67="Y",", with GWT",""))</f>
        <v/>
      </c>
      <c r="C67" s="9"/>
      <c r="D67" s="39"/>
      <c r="E67" s="36"/>
      <c r="F67" s="9"/>
      <c r="G67" s="9"/>
      <c r="H67" s="36"/>
      <c r="I67" s="38"/>
      <c r="J67" s="36"/>
      <c r="K67" s="36"/>
      <c r="L67" s="36"/>
      <c r="M67" s="36"/>
      <c r="N67" s="36"/>
      <c r="O67" s="36"/>
      <c r="P67" s="9"/>
      <c r="Q67" s="36"/>
      <c r="R67" s="9"/>
      <c r="S67" s="9"/>
      <c r="T67" s="39"/>
      <c r="U67" s="39"/>
      <c r="V67" s="36"/>
      <c r="W67" s="9"/>
      <c r="X67" s="9"/>
      <c r="Y67" s="9"/>
      <c r="Z67" s="9"/>
      <c r="AA67" s="9"/>
      <c r="AB67" s="9"/>
      <c r="AC67" s="9"/>
      <c r="AD67" s="37"/>
      <c r="AE67" s="38"/>
      <c r="AF67" s="39"/>
      <c r="AG67" s="39"/>
      <c r="AH67" s="9"/>
      <c r="AI67" s="9"/>
      <c r="AJ67" s="9"/>
      <c r="AK67" s="9"/>
      <c r="AL67" s="9"/>
      <c r="AM67" s="40"/>
      <c r="AN67" s="10" t="str">
        <f aca="false">IF(C67="","",C67&amp;"|"&amp;D67&amp;"|"&amp;E67&amp;"|"&amp;F67&amp;"|"&amp;Y67)</f>
        <v/>
      </c>
    </row>
    <row r="68" customFormat="false" ht="15" hidden="false" customHeight="false" outlineLevel="0" collapsed="false">
      <c r="A68" s="10" t="str">
        <f aca="false">IF(C68="","","RW-"&amp;IFERROR(VLOOKUP(C68,Lists!$M$4:$N$23,2,0),"??")&amp;"-H"&amp;TEXT(D68*1000,"0000")&amp;"-S"&amp;E68&amp;IF(F68="Y","-GW","")&amp;"-"&amp;X68)</f>
        <v/>
      </c>
      <c r="B68" s="10" t="str">
        <f aca="false">IF(C68="","",C68&amp;", H = "&amp;TEXT(D68,"0.0")&amp;" m, q = "&amp;E68&amp;" kPa"&amp;IF(F68="Y",", with GWT",""))</f>
        <v/>
      </c>
      <c r="C68" s="9"/>
      <c r="D68" s="39"/>
      <c r="E68" s="36"/>
      <c r="F68" s="9"/>
      <c r="G68" s="9"/>
      <c r="H68" s="36"/>
      <c r="I68" s="38"/>
      <c r="J68" s="36"/>
      <c r="K68" s="36"/>
      <c r="L68" s="36"/>
      <c r="M68" s="36"/>
      <c r="N68" s="36"/>
      <c r="O68" s="36"/>
      <c r="P68" s="9"/>
      <c r="Q68" s="36"/>
      <c r="R68" s="9"/>
      <c r="S68" s="9"/>
      <c r="T68" s="39"/>
      <c r="U68" s="39"/>
      <c r="V68" s="36"/>
      <c r="W68" s="9"/>
      <c r="X68" s="9"/>
      <c r="Y68" s="9"/>
      <c r="Z68" s="9"/>
      <c r="AA68" s="9"/>
      <c r="AB68" s="9"/>
      <c r="AC68" s="9"/>
      <c r="AD68" s="37"/>
      <c r="AE68" s="38"/>
      <c r="AF68" s="39"/>
      <c r="AG68" s="39"/>
      <c r="AH68" s="9"/>
      <c r="AI68" s="9"/>
      <c r="AJ68" s="9"/>
      <c r="AK68" s="9"/>
      <c r="AL68" s="9"/>
      <c r="AM68" s="40"/>
      <c r="AN68" s="10" t="str">
        <f aca="false">IF(C68="","",C68&amp;"|"&amp;D68&amp;"|"&amp;E68&amp;"|"&amp;F68&amp;"|"&amp;Y68)</f>
        <v/>
      </c>
    </row>
    <row r="69" customFormat="false" ht="15" hidden="false" customHeight="false" outlineLevel="0" collapsed="false">
      <c r="A69" s="10" t="str">
        <f aca="false">IF(C69="","","RW-"&amp;IFERROR(VLOOKUP(C69,Lists!$M$4:$N$23,2,0),"??")&amp;"-H"&amp;TEXT(D69*1000,"0000")&amp;"-S"&amp;E69&amp;IF(F69="Y","-GW","")&amp;"-"&amp;X69)</f>
        <v/>
      </c>
      <c r="B69" s="10" t="str">
        <f aca="false">IF(C69="","",C69&amp;", H = "&amp;TEXT(D69,"0.0")&amp;" m, q = "&amp;E69&amp;" kPa"&amp;IF(F69="Y",", with GWT",""))</f>
        <v/>
      </c>
      <c r="C69" s="9"/>
      <c r="D69" s="39"/>
      <c r="E69" s="36"/>
      <c r="F69" s="9"/>
      <c r="G69" s="9"/>
      <c r="H69" s="36"/>
      <c r="I69" s="38"/>
      <c r="J69" s="36"/>
      <c r="K69" s="36"/>
      <c r="L69" s="36"/>
      <c r="M69" s="36"/>
      <c r="N69" s="36"/>
      <c r="O69" s="36"/>
      <c r="P69" s="9"/>
      <c r="Q69" s="36"/>
      <c r="R69" s="9"/>
      <c r="S69" s="9"/>
      <c r="T69" s="39"/>
      <c r="U69" s="39"/>
      <c r="V69" s="36"/>
      <c r="W69" s="9"/>
      <c r="X69" s="9"/>
      <c r="Y69" s="9"/>
      <c r="Z69" s="9"/>
      <c r="AA69" s="9"/>
      <c r="AB69" s="9"/>
      <c r="AC69" s="9"/>
      <c r="AD69" s="37"/>
      <c r="AE69" s="38"/>
      <c r="AF69" s="39"/>
      <c r="AG69" s="39"/>
      <c r="AH69" s="9"/>
      <c r="AI69" s="9"/>
      <c r="AJ69" s="9"/>
      <c r="AK69" s="9"/>
      <c r="AL69" s="9"/>
      <c r="AM69" s="40"/>
      <c r="AN69" s="10" t="str">
        <f aca="false">IF(C69="","",C69&amp;"|"&amp;D69&amp;"|"&amp;E69&amp;"|"&amp;F69&amp;"|"&amp;Y69)</f>
        <v/>
      </c>
    </row>
    <row r="70" customFormat="false" ht="15" hidden="false" customHeight="false" outlineLevel="0" collapsed="false">
      <c r="A70" s="10" t="str">
        <f aca="false">IF(C70="","","RW-"&amp;IFERROR(VLOOKUP(C70,Lists!$M$4:$N$23,2,0),"??")&amp;"-H"&amp;TEXT(D70*1000,"0000")&amp;"-S"&amp;E70&amp;IF(F70="Y","-GW","")&amp;"-"&amp;X70)</f>
        <v/>
      </c>
      <c r="B70" s="10" t="str">
        <f aca="false">IF(C70="","",C70&amp;", H = "&amp;TEXT(D70,"0.0")&amp;" m, q = "&amp;E70&amp;" kPa"&amp;IF(F70="Y",", with GWT",""))</f>
        <v/>
      </c>
      <c r="C70" s="9"/>
      <c r="D70" s="39"/>
      <c r="E70" s="36"/>
      <c r="F70" s="9"/>
      <c r="G70" s="9"/>
      <c r="H70" s="36"/>
      <c r="I70" s="38"/>
      <c r="J70" s="36"/>
      <c r="K70" s="36"/>
      <c r="L70" s="36"/>
      <c r="M70" s="36"/>
      <c r="N70" s="36"/>
      <c r="O70" s="36"/>
      <c r="P70" s="9"/>
      <c r="Q70" s="36"/>
      <c r="R70" s="9"/>
      <c r="S70" s="9"/>
      <c r="T70" s="39"/>
      <c r="U70" s="39"/>
      <c r="V70" s="36"/>
      <c r="W70" s="9"/>
      <c r="X70" s="9"/>
      <c r="Y70" s="9"/>
      <c r="Z70" s="9"/>
      <c r="AA70" s="9"/>
      <c r="AB70" s="9"/>
      <c r="AC70" s="9"/>
      <c r="AD70" s="37"/>
      <c r="AE70" s="38"/>
      <c r="AF70" s="39"/>
      <c r="AG70" s="39"/>
      <c r="AH70" s="9"/>
      <c r="AI70" s="9"/>
      <c r="AJ70" s="9"/>
      <c r="AK70" s="9"/>
      <c r="AL70" s="9"/>
      <c r="AM70" s="40"/>
      <c r="AN70" s="10" t="str">
        <f aca="false">IF(C70="","",C70&amp;"|"&amp;D70&amp;"|"&amp;E70&amp;"|"&amp;F70&amp;"|"&amp;Y70)</f>
        <v/>
      </c>
    </row>
    <row r="71" customFormat="false" ht="15" hidden="false" customHeight="false" outlineLevel="0" collapsed="false">
      <c r="A71" s="10" t="str">
        <f aca="false">IF(C71="","","RW-"&amp;IFERROR(VLOOKUP(C71,Lists!$M$4:$N$23,2,0),"??")&amp;"-H"&amp;TEXT(D71*1000,"0000")&amp;"-S"&amp;E71&amp;IF(F71="Y","-GW","")&amp;"-"&amp;X71)</f>
        <v/>
      </c>
      <c r="B71" s="10" t="str">
        <f aca="false">IF(C71="","",C71&amp;", H = "&amp;TEXT(D71,"0.0")&amp;" m, q = "&amp;E71&amp;" kPa"&amp;IF(F71="Y",", with GWT",""))</f>
        <v/>
      </c>
      <c r="C71" s="9"/>
      <c r="D71" s="39"/>
      <c r="E71" s="36"/>
      <c r="F71" s="9"/>
      <c r="G71" s="9"/>
      <c r="H71" s="36"/>
      <c r="I71" s="38"/>
      <c r="J71" s="36"/>
      <c r="K71" s="36"/>
      <c r="L71" s="36"/>
      <c r="M71" s="36"/>
      <c r="N71" s="36"/>
      <c r="O71" s="36"/>
      <c r="P71" s="9"/>
      <c r="Q71" s="36"/>
      <c r="R71" s="9"/>
      <c r="S71" s="9"/>
      <c r="T71" s="39"/>
      <c r="U71" s="39"/>
      <c r="V71" s="36"/>
      <c r="W71" s="9"/>
      <c r="X71" s="9"/>
      <c r="Y71" s="9"/>
      <c r="Z71" s="9"/>
      <c r="AA71" s="9"/>
      <c r="AB71" s="9"/>
      <c r="AC71" s="9"/>
      <c r="AD71" s="37"/>
      <c r="AE71" s="38"/>
      <c r="AF71" s="39"/>
      <c r="AG71" s="39"/>
      <c r="AH71" s="9"/>
      <c r="AI71" s="9"/>
      <c r="AJ71" s="9"/>
      <c r="AK71" s="9"/>
      <c r="AL71" s="9"/>
      <c r="AM71" s="40"/>
      <c r="AN71" s="10" t="str">
        <f aca="false">IF(C71="","",C71&amp;"|"&amp;D71&amp;"|"&amp;E71&amp;"|"&amp;F71&amp;"|"&amp;Y71)</f>
        <v/>
      </c>
    </row>
    <row r="72" customFormat="false" ht="15" hidden="false" customHeight="false" outlineLevel="0" collapsed="false">
      <c r="A72" s="10" t="str">
        <f aca="false">IF(C72="","","RW-"&amp;IFERROR(VLOOKUP(C72,Lists!$M$4:$N$23,2,0),"??")&amp;"-H"&amp;TEXT(D72*1000,"0000")&amp;"-S"&amp;E72&amp;IF(F72="Y","-GW","")&amp;"-"&amp;X72)</f>
        <v/>
      </c>
      <c r="B72" s="10" t="str">
        <f aca="false">IF(C72="","",C72&amp;", H = "&amp;TEXT(D72,"0.0")&amp;" m, q = "&amp;E72&amp;" kPa"&amp;IF(F72="Y",", with GWT",""))</f>
        <v/>
      </c>
      <c r="C72" s="9"/>
      <c r="D72" s="39"/>
      <c r="E72" s="36"/>
      <c r="F72" s="9"/>
      <c r="G72" s="9"/>
      <c r="H72" s="36"/>
      <c r="I72" s="38"/>
      <c r="J72" s="36"/>
      <c r="K72" s="36"/>
      <c r="L72" s="36"/>
      <c r="M72" s="36"/>
      <c r="N72" s="36"/>
      <c r="O72" s="36"/>
      <c r="P72" s="9"/>
      <c r="Q72" s="36"/>
      <c r="R72" s="9"/>
      <c r="S72" s="9"/>
      <c r="T72" s="39"/>
      <c r="U72" s="39"/>
      <c r="V72" s="36"/>
      <c r="W72" s="9"/>
      <c r="X72" s="9"/>
      <c r="Y72" s="9"/>
      <c r="Z72" s="9"/>
      <c r="AA72" s="9"/>
      <c r="AB72" s="9"/>
      <c r="AC72" s="9"/>
      <c r="AD72" s="37"/>
      <c r="AE72" s="38"/>
      <c r="AF72" s="39"/>
      <c r="AG72" s="39"/>
      <c r="AH72" s="9"/>
      <c r="AI72" s="9"/>
      <c r="AJ72" s="9"/>
      <c r="AK72" s="9"/>
      <c r="AL72" s="9"/>
      <c r="AM72" s="40"/>
      <c r="AN72" s="10" t="str">
        <f aca="false">IF(C72="","",C72&amp;"|"&amp;D72&amp;"|"&amp;E72&amp;"|"&amp;F72&amp;"|"&amp;Y72)</f>
        <v/>
      </c>
    </row>
    <row r="73" customFormat="false" ht="15" hidden="false" customHeight="false" outlineLevel="0" collapsed="false">
      <c r="A73" s="10" t="str">
        <f aca="false">IF(C73="","","RW-"&amp;IFERROR(VLOOKUP(C73,Lists!$M$4:$N$23,2,0),"??")&amp;"-H"&amp;TEXT(D73*1000,"0000")&amp;"-S"&amp;E73&amp;IF(F73="Y","-GW","")&amp;"-"&amp;X73)</f>
        <v/>
      </c>
      <c r="B73" s="10" t="str">
        <f aca="false">IF(C73="","",C73&amp;", H = "&amp;TEXT(D73,"0.0")&amp;" m, q = "&amp;E73&amp;" kPa"&amp;IF(F73="Y",", with GWT",""))</f>
        <v/>
      </c>
      <c r="C73" s="9"/>
      <c r="D73" s="39"/>
      <c r="E73" s="36"/>
      <c r="F73" s="9"/>
      <c r="G73" s="9"/>
      <c r="H73" s="36"/>
      <c r="I73" s="38"/>
      <c r="J73" s="36"/>
      <c r="K73" s="36"/>
      <c r="L73" s="36"/>
      <c r="M73" s="36"/>
      <c r="N73" s="36"/>
      <c r="O73" s="36"/>
      <c r="P73" s="9"/>
      <c r="Q73" s="36"/>
      <c r="R73" s="9"/>
      <c r="S73" s="9"/>
      <c r="T73" s="39"/>
      <c r="U73" s="39"/>
      <c r="V73" s="36"/>
      <c r="W73" s="9"/>
      <c r="X73" s="9"/>
      <c r="Y73" s="9"/>
      <c r="Z73" s="9"/>
      <c r="AA73" s="9"/>
      <c r="AB73" s="9"/>
      <c r="AC73" s="9"/>
      <c r="AD73" s="37"/>
      <c r="AE73" s="38"/>
      <c r="AF73" s="39"/>
      <c r="AG73" s="39"/>
      <c r="AH73" s="9"/>
      <c r="AI73" s="9"/>
      <c r="AJ73" s="9"/>
      <c r="AK73" s="9"/>
      <c r="AL73" s="9"/>
      <c r="AM73" s="40"/>
      <c r="AN73" s="10" t="str">
        <f aca="false">IF(C73="","",C73&amp;"|"&amp;D73&amp;"|"&amp;E73&amp;"|"&amp;F73&amp;"|"&amp;Y73)</f>
        <v/>
      </c>
    </row>
    <row r="74" customFormat="false" ht="15" hidden="false" customHeight="false" outlineLevel="0" collapsed="false">
      <c r="A74" s="10" t="str">
        <f aca="false">IF(C74="","","RW-"&amp;IFERROR(VLOOKUP(C74,Lists!$M$4:$N$23,2,0),"??")&amp;"-H"&amp;TEXT(D74*1000,"0000")&amp;"-S"&amp;E74&amp;IF(F74="Y","-GW","")&amp;"-"&amp;X74)</f>
        <v/>
      </c>
      <c r="B74" s="10" t="str">
        <f aca="false">IF(C74="","",C74&amp;", H = "&amp;TEXT(D74,"0.0")&amp;" m, q = "&amp;E74&amp;" kPa"&amp;IF(F74="Y",", with GWT",""))</f>
        <v/>
      </c>
      <c r="C74" s="9"/>
      <c r="D74" s="39"/>
      <c r="E74" s="36"/>
      <c r="F74" s="9"/>
      <c r="G74" s="9"/>
      <c r="H74" s="36"/>
      <c r="I74" s="38"/>
      <c r="J74" s="36"/>
      <c r="K74" s="36"/>
      <c r="L74" s="36"/>
      <c r="M74" s="36"/>
      <c r="N74" s="36"/>
      <c r="O74" s="36"/>
      <c r="P74" s="9"/>
      <c r="Q74" s="36"/>
      <c r="R74" s="9"/>
      <c r="S74" s="9"/>
      <c r="T74" s="39"/>
      <c r="U74" s="39"/>
      <c r="V74" s="36"/>
      <c r="W74" s="9"/>
      <c r="X74" s="9"/>
      <c r="Y74" s="9"/>
      <c r="Z74" s="9"/>
      <c r="AA74" s="9"/>
      <c r="AB74" s="9"/>
      <c r="AC74" s="9"/>
      <c r="AD74" s="37"/>
      <c r="AE74" s="38"/>
      <c r="AF74" s="39"/>
      <c r="AG74" s="39"/>
      <c r="AH74" s="9"/>
      <c r="AI74" s="9"/>
      <c r="AJ74" s="9"/>
      <c r="AK74" s="9"/>
      <c r="AL74" s="9"/>
      <c r="AM74" s="40"/>
      <c r="AN74" s="10" t="str">
        <f aca="false">IF(C74="","",C74&amp;"|"&amp;D74&amp;"|"&amp;E74&amp;"|"&amp;F74&amp;"|"&amp;Y74)</f>
        <v/>
      </c>
    </row>
    <row r="75" customFormat="false" ht="15" hidden="false" customHeight="false" outlineLevel="0" collapsed="false">
      <c r="A75" s="10" t="str">
        <f aca="false">IF(C75="","","RW-"&amp;IFERROR(VLOOKUP(C75,Lists!$M$4:$N$23,2,0),"??")&amp;"-H"&amp;TEXT(D75*1000,"0000")&amp;"-S"&amp;E75&amp;IF(F75="Y","-GW","")&amp;"-"&amp;X75)</f>
        <v/>
      </c>
      <c r="B75" s="10" t="str">
        <f aca="false">IF(C75="","",C75&amp;", H = "&amp;TEXT(D75,"0.0")&amp;" m, q = "&amp;E75&amp;" kPa"&amp;IF(F75="Y",", with GWT",""))</f>
        <v/>
      </c>
      <c r="C75" s="9"/>
      <c r="D75" s="39"/>
      <c r="E75" s="36"/>
      <c r="F75" s="9"/>
      <c r="G75" s="9"/>
      <c r="H75" s="36"/>
      <c r="I75" s="38"/>
      <c r="J75" s="36"/>
      <c r="K75" s="36"/>
      <c r="L75" s="36"/>
      <c r="M75" s="36"/>
      <c r="N75" s="36"/>
      <c r="O75" s="36"/>
      <c r="P75" s="9"/>
      <c r="Q75" s="36"/>
      <c r="R75" s="9"/>
      <c r="S75" s="9"/>
      <c r="T75" s="39"/>
      <c r="U75" s="39"/>
      <c r="V75" s="36"/>
      <c r="W75" s="9"/>
      <c r="X75" s="9"/>
      <c r="Y75" s="9"/>
      <c r="Z75" s="9"/>
      <c r="AA75" s="9"/>
      <c r="AB75" s="9"/>
      <c r="AC75" s="9"/>
      <c r="AD75" s="37"/>
      <c r="AE75" s="38"/>
      <c r="AF75" s="39"/>
      <c r="AG75" s="39"/>
      <c r="AH75" s="9"/>
      <c r="AI75" s="9"/>
      <c r="AJ75" s="9"/>
      <c r="AK75" s="9"/>
      <c r="AL75" s="9"/>
      <c r="AM75" s="40"/>
      <c r="AN75" s="10" t="str">
        <f aca="false">IF(C75="","",C75&amp;"|"&amp;D75&amp;"|"&amp;E75&amp;"|"&amp;F75&amp;"|"&amp;Y75)</f>
        <v/>
      </c>
    </row>
    <row r="76" customFormat="false" ht="15" hidden="false" customHeight="false" outlineLevel="0" collapsed="false">
      <c r="A76" s="10" t="str">
        <f aca="false">IF(C76="","","RW-"&amp;IFERROR(VLOOKUP(C76,Lists!$M$4:$N$23,2,0),"??")&amp;"-H"&amp;TEXT(D76*1000,"0000")&amp;"-S"&amp;E76&amp;IF(F76="Y","-GW","")&amp;"-"&amp;X76)</f>
        <v/>
      </c>
      <c r="B76" s="10" t="str">
        <f aca="false">IF(C76="","",C76&amp;", H = "&amp;TEXT(D76,"0.0")&amp;" m, q = "&amp;E76&amp;" kPa"&amp;IF(F76="Y",", with GWT",""))</f>
        <v/>
      </c>
      <c r="C76" s="9"/>
      <c r="D76" s="39"/>
      <c r="E76" s="36"/>
      <c r="F76" s="9"/>
      <c r="G76" s="9"/>
      <c r="H76" s="36"/>
      <c r="I76" s="38"/>
      <c r="J76" s="36"/>
      <c r="K76" s="36"/>
      <c r="L76" s="36"/>
      <c r="M76" s="36"/>
      <c r="N76" s="36"/>
      <c r="O76" s="36"/>
      <c r="P76" s="9"/>
      <c r="Q76" s="36"/>
      <c r="R76" s="9"/>
      <c r="S76" s="9"/>
      <c r="T76" s="39"/>
      <c r="U76" s="39"/>
      <c r="V76" s="36"/>
      <c r="W76" s="9"/>
      <c r="X76" s="9"/>
      <c r="Y76" s="9"/>
      <c r="Z76" s="9"/>
      <c r="AA76" s="9"/>
      <c r="AB76" s="9"/>
      <c r="AC76" s="9"/>
      <c r="AD76" s="37"/>
      <c r="AE76" s="38"/>
      <c r="AF76" s="39"/>
      <c r="AG76" s="39"/>
      <c r="AH76" s="9"/>
      <c r="AI76" s="9"/>
      <c r="AJ76" s="9"/>
      <c r="AK76" s="9"/>
      <c r="AL76" s="9"/>
      <c r="AM76" s="40"/>
      <c r="AN76" s="10" t="str">
        <f aca="false">IF(C76="","",C76&amp;"|"&amp;D76&amp;"|"&amp;E76&amp;"|"&amp;F76&amp;"|"&amp;Y76)</f>
        <v/>
      </c>
    </row>
    <row r="77" customFormat="false" ht="15" hidden="false" customHeight="false" outlineLevel="0" collapsed="false">
      <c r="A77" s="10" t="str">
        <f aca="false">IF(C77="","","RW-"&amp;IFERROR(VLOOKUP(C77,Lists!$M$4:$N$23,2,0),"??")&amp;"-H"&amp;TEXT(D77*1000,"0000")&amp;"-S"&amp;E77&amp;IF(F77="Y","-GW","")&amp;"-"&amp;X77)</f>
        <v/>
      </c>
      <c r="B77" s="10" t="str">
        <f aca="false">IF(C77="","",C77&amp;", H = "&amp;TEXT(D77,"0.0")&amp;" m, q = "&amp;E77&amp;" kPa"&amp;IF(F77="Y",", with GWT",""))</f>
        <v/>
      </c>
      <c r="C77" s="9"/>
      <c r="D77" s="39"/>
      <c r="E77" s="36"/>
      <c r="F77" s="9"/>
      <c r="G77" s="9"/>
      <c r="H77" s="36"/>
      <c r="I77" s="38"/>
      <c r="J77" s="36"/>
      <c r="K77" s="36"/>
      <c r="L77" s="36"/>
      <c r="M77" s="36"/>
      <c r="N77" s="36"/>
      <c r="O77" s="36"/>
      <c r="P77" s="9"/>
      <c r="Q77" s="36"/>
      <c r="R77" s="9"/>
      <c r="S77" s="9"/>
      <c r="T77" s="39"/>
      <c r="U77" s="39"/>
      <c r="V77" s="36"/>
      <c r="W77" s="9"/>
      <c r="X77" s="9"/>
      <c r="Y77" s="9"/>
      <c r="Z77" s="9"/>
      <c r="AA77" s="9"/>
      <c r="AB77" s="9"/>
      <c r="AC77" s="9"/>
      <c r="AD77" s="37"/>
      <c r="AE77" s="38"/>
      <c r="AF77" s="39"/>
      <c r="AG77" s="39"/>
      <c r="AH77" s="9"/>
      <c r="AI77" s="9"/>
      <c r="AJ77" s="9"/>
      <c r="AK77" s="9"/>
      <c r="AL77" s="9"/>
      <c r="AM77" s="40"/>
      <c r="AN77" s="10" t="str">
        <f aca="false">IF(C77="","",C77&amp;"|"&amp;D77&amp;"|"&amp;E77&amp;"|"&amp;F77&amp;"|"&amp;Y77)</f>
        <v/>
      </c>
    </row>
    <row r="78" customFormat="false" ht="15" hidden="false" customHeight="false" outlineLevel="0" collapsed="false">
      <c r="A78" s="10" t="str">
        <f aca="false">IF(C78="","","RW-"&amp;IFERROR(VLOOKUP(C78,Lists!$M$4:$N$23,2,0),"??")&amp;"-H"&amp;TEXT(D78*1000,"0000")&amp;"-S"&amp;E78&amp;IF(F78="Y","-GW","")&amp;"-"&amp;X78)</f>
        <v/>
      </c>
      <c r="B78" s="10" t="str">
        <f aca="false">IF(C78="","",C78&amp;", H = "&amp;TEXT(D78,"0.0")&amp;" m, q = "&amp;E78&amp;" kPa"&amp;IF(F78="Y",", with GWT",""))</f>
        <v/>
      </c>
      <c r="C78" s="9"/>
      <c r="D78" s="39"/>
      <c r="E78" s="36"/>
      <c r="F78" s="9"/>
      <c r="G78" s="9"/>
      <c r="H78" s="36"/>
      <c r="I78" s="38"/>
      <c r="J78" s="36"/>
      <c r="K78" s="36"/>
      <c r="L78" s="36"/>
      <c r="M78" s="36"/>
      <c r="N78" s="36"/>
      <c r="O78" s="36"/>
      <c r="P78" s="9"/>
      <c r="Q78" s="36"/>
      <c r="R78" s="9"/>
      <c r="S78" s="9"/>
      <c r="T78" s="39"/>
      <c r="U78" s="39"/>
      <c r="V78" s="36"/>
      <c r="W78" s="9"/>
      <c r="X78" s="9"/>
      <c r="Y78" s="9"/>
      <c r="Z78" s="9"/>
      <c r="AA78" s="9"/>
      <c r="AB78" s="9"/>
      <c r="AC78" s="9"/>
      <c r="AD78" s="37"/>
      <c r="AE78" s="38"/>
      <c r="AF78" s="39"/>
      <c r="AG78" s="39"/>
      <c r="AH78" s="9"/>
      <c r="AI78" s="9"/>
      <c r="AJ78" s="9"/>
      <c r="AK78" s="9"/>
      <c r="AL78" s="9"/>
      <c r="AM78" s="40"/>
      <c r="AN78" s="10" t="str">
        <f aca="false">IF(C78="","",C78&amp;"|"&amp;D78&amp;"|"&amp;E78&amp;"|"&amp;F78&amp;"|"&amp;Y78)</f>
        <v/>
      </c>
    </row>
    <row r="79" customFormat="false" ht="15" hidden="false" customHeight="false" outlineLevel="0" collapsed="false">
      <c r="A79" s="10" t="str">
        <f aca="false">IF(C79="","","RW-"&amp;IFERROR(VLOOKUP(C79,Lists!$M$4:$N$23,2,0),"??")&amp;"-H"&amp;TEXT(D79*1000,"0000")&amp;"-S"&amp;E79&amp;IF(F79="Y","-GW","")&amp;"-"&amp;X79)</f>
        <v/>
      </c>
      <c r="B79" s="10" t="str">
        <f aca="false">IF(C79="","",C79&amp;", H = "&amp;TEXT(D79,"0.0")&amp;" m, q = "&amp;E79&amp;" kPa"&amp;IF(F79="Y",", with GWT",""))</f>
        <v/>
      </c>
      <c r="C79" s="9"/>
      <c r="D79" s="39"/>
      <c r="E79" s="36"/>
      <c r="F79" s="9"/>
      <c r="G79" s="9"/>
      <c r="H79" s="36"/>
      <c r="I79" s="38"/>
      <c r="J79" s="36"/>
      <c r="K79" s="36"/>
      <c r="L79" s="36"/>
      <c r="M79" s="36"/>
      <c r="N79" s="36"/>
      <c r="O79" s="36"/>
      <c r="P79" s="9"/>
      <c r="Q79" s="36"/>
      <c r="R79" s="9"/>
      <c r="S79" s="9"/>
      <c r="T79" s="39"/>
      <c r="U79" s="39"/>
      <c r="V79" s="36"/>
      <c r="W79" s="9"/>
      <c r="X79" s="9"/>
      <c r="Y79" s="9"/>
      <c r="Z79" s="9"/>
      <c r="AA79" s="9"/>
      <c r="AB79" s="9"/>
      <c r="AC79" s="9"/>
      <c r="AD79" s="37"/>
      <c r="AE79" s="38"/>
      <c r="AF79" s="39"/>
      <c r="AG79" s="39"/>
      <c r="AH79" s="9"/>
      <c r="AI79" s="9"/>
      <c r="AJ79" s="9"/>
      <c r="AK79" s="9"/>
      <c r="AL79" s="9"/>
      <c r="AM79" s="40"/>
      <c r="AN79" s="10" t="str">
        <f aca="false">IF(C79="","",C79&amp;"|"&amp;D79&amp;"|"&amp;E79&amp;"|"&amp;F79&amp;"|"&amp;Y79)</f>
        <v/>
      </c>
    </row>
    <row r="80" customFormat="false" ht="15" hidden="false" customHeight="false" outlineLevel="0" collapsed="false">
      <c r="A80" s="10" t="str">
        <f aca="false">IF(C80="","","RW-"&amp;IFERROR(VLOOKUP(C80,Lists!$M$4:$N$23,2,0),"??")&amp;"-H"&amp;TEXT(D80*1000,"0000")&amp;"-S"&amp;E80&amp;IF(F80="Y","-GW","")&amp;"-"&amp;X80)</f>
        <v/>
      </c>
      <c r="B80" s="10" t="str">
        <f aca="false">IF(C80="","",C80&amp;", H = "&amp;TEXT(D80,"0.0")&amp;" m, q = "&amp;E80&amp;" kPa"&amp;IF(F80="Y",", with GWT",""))</f>
        <v/>
      </c>
      <c r="C80" s="9"/>
      <c r="D80" s="39"/>
      <c r="E80" s="36"/>
      <c r="F80" s="9"/>
      <c r="G80" s="9"/>
      <c r="H80" s="36"/>
      <c r="I80" s="38"/>
      <c r="J80" s="36"/>
      <c r="K80" s="36"/>
      <c r="L80" s="36"/>
      <c r="M80" s="36"/>
      <c r="N80" s="36"/>
      <c r="O80" s="36"/>
      <c r="P80" s="9"/>
      <c r="Q80" s="36"/>
      <c r="R80" s="9"/>
      <c r="S80" s="9"/>
      <c r="T80" s="39"/>
      <c r="U80" s="39"/>
      <c r="V80" s="36"/>
      <c r="W80" s="9"/>
      <c r="X80" s="9"/>
      <c r="Y80" s="9"/>
      <c r="Z80" s="9"/>
      <c r="AA80" s="9"/>
      <c r="AB80" s="9"/>
      <c r="AC80" s="9"/>
      <c r="AD80" s="37"/>
      <c r="AE80" s="38"/>
      <c r="AF80" s="39"/>
      <c r="AG80" s="39"/>
      <c r="AH80" s="9"/>
      <c r="AI80" s="9"/>
      <c r="AJ80" s="9"/>
      <c r="AK80" s="9"/>
      <c r="AL80" s="9"/>
      <c r="AM80" s="40"/>
      <c r="AN80" s="10" t="str">
        <f aca="false">IF(C80="","",C80&amp;"|"&amp;D80&amp;"|"&amp;E80&amp;"|"&amp;F80&amp;"|"&amp;Y80)</f>
        <v/>
      </c>
    </row>
    <row r="81" customFormat="false" ht="15" hidden="false" customHeight="false" outlineLevel="0" collapsed="false">
      <c r="A81" s="10" t="str">
        <f aca="false">IF(C81="","","RW-"&amp;IFERROR(VLOOKUP(C81,Lists!$M$4:$N$23,2,0),"??")&amp;"-H"&amp;TEXT(D81*1000,"0000")&amp;"-S"&amp;E81&amp;IF(F81="Y","-GW","")&amp;"-"&amp;X81)</f>
        <v/>
      </c>
      <c r="B81" s="10" t="str">
        <f aca="false">IF(C81="","",C81&amp;", H = "&amp;TEXT(D81,"0.0")&amp;" m, q = "&amp;E81&amp;" kPa"&amp;IF(F81="Y",", with GWT",""))</f>
        <v/>
      </c>
      <c r="C81" s="9"/>
      <c r="D81" s="39"/>
      <c r="E81" s="36"/>
      <c r="F81" s="9"/>
      <c r="G81" s="9"/>
      <c r="H81" s="36"/>
      <c r="I81" s="38"/>
      <c r="J81" s="36"/>
      <c r="K81" s="36"/>
      <c r="L81" s="36"/>
      <c r="M81" s="36"/>
      <c r="N81" s="36"/>
      <c r="O81" s="36"/>
      <c r="P81" s="9"/>
      <c r="Q81" s="36"/>
      <c r="R81" s="9"/>
      <c r="S81" s="9"/>
      <c r="T81" s="39"/>
      <c r="U81" s="39"/>
      <c r="V81" s="36"/>
      <c r="W81" s="9"/>
      <c r="X81" s="9"/>
      <c r="Y81" s="9"/>
      <c r="Z81" s="9"/>
      <c r="AA81" s="9"/>
      <c r="AB81" s="9"/>
      <c r="AC81" s="9"/>
      <c r="AD81" s="37"/>
      <c r="AE81" s="38"/>
      <c r="AF81" s="39"/>
      <c r="AG81" s="39"/>
      <c r="AH81" s="9"/>
      <c r="AI81" s="9"/>
      <c r="AJ81" s="9"/>
      <c r="AK81" s="9"/>
      <c r="AL81" s="9"/>
      <c r="AM81" s="40"/>
      <c r="AN81" s="10" t="str">
        <f aca="false">IF(C81="","",C81&amp;"|"&amp;D81&amp;"|"&amp;E81&amp;"|"&amp;F81&amp;"|"&amp;Y81)</f>
        <v/>
      </c>
    </row>
    <row r="82" customFormat="false" ht="15" hidden="false" customHeight="false" outlineLevel="0" collapsed="false">
      <c r="A82" s="10" t="str">
        <f aca="false">IF(C82="","","RW-"&amp;IFERROR(VLOOKUP(C82,Lists!$M$4:$N$23,2,0),"??")&amp;"-H"&amp;TEXT(D82*1000,"0000")&amp;"-S"&amp;E82&amp;IF(F82="Y","-GW","")&amp;"-"&amp;X82)</f>
        <v/>
      </c>
      <c r="B82" s="10" t="str">
        <f aca="false">IF(C82="","",C82&amp;", H = "&amp;TEXT(D82,"0.0")&amp;" m, q = "&amp;E82&amp;" kPa"&amp;IF(F82="Y",", with GWT",""))</f>
        <v/>
      </c>
      <c r="C82" s="9"/>
      <c r="D82" s="39"/>
      <c r="E82" s="36"/>
      <c r="F82" s="9"/>
      <c r="G82" s="9"/>
      <c r="H82" s="36"/>
      <c r="I82" s="38"/>
      <c r="J82" s="36"/>
      <c r="K82" s="36"/>
      <c r="L82" s="36"/>
      <c r="M82" s="36"/>
      <c r="N82" s="36"/>
      <c r="O82" s="36"/>
      <c r="P82" s="9"/>
      <c r="Q82" s="36"/>
      <c r="R82" s="9"/>
      <c r="S82" s="9"/>
      <c r="T82" s="39"/>
      <c r="U82" s="39"/>
      <c r="V82" s="36"/>
      <c r="W82" s="9"/>
      <c r="X82" s="9"/>
      <c r="Y82" s="9"/>
      <c r="Z82" s="9"/>
      <c r="AA82" s="9"/>
      <c r="AB82" s="9"/>
      <c r="AC82" s="9"/>
      <c r="AD82" s="37"/>
      <c r="AE82" s="38"/>
      <c r="AF82" s="39"/>
      <c r="AG82" s="39"/>
      <c r="AH82" s="9"/>
      <c r="AI82" s="9"/>
      <c r="AJ82" s="9"/>
      <c r="AK82" s="9"/>
      <c r="AL82" s="9"/>
      <c r="AM82" s="40"/>
      <c r="AN82" s="10" t="str">
        <f aca="false">IF(C82="","",C82&amp;"|"&amp;D82&amp;"|"&amp;E82&amp;"|"&amp;F82&amp;"|"&amp;Y82)</f>
        <v/>
      </c>
    </row>
    <row r="83" customFormat="false" ht="15" hidden="false" customHeight="false" outlineLevel="0" collapsed="false">
      <c r="A83" s="10" t="str">
        <f aca="false">IF(C83="","","RW-"&amp;IFERROR(VLOOKUP(C83,Lists!$M$4:$N$23,2,0),"??")&amp;"-H"&amp;TEXT(D83*1000,"0000")&amp;"-S"&amp;E83&amp;IF(F83="Y","-GW","")&amp;"-"&amp;X83)</f>
        <v/>
      </c>
      <c r="B83" s="10" t="str">
        <f aca="false">IF(C83="","",C83&amp;", H = "&amp;TEXT(D83,"0.0")&amp;" m, q = "&amp;E83&amp;" kPa"&amp;IF(F83="Y",", with GWT",""))</f>
        <v/>
      </c>
      <c r="C83" s="9"/>
      <c r="D83" s="39"/>
      <c r="E83" s="36"/>
      <c r="F83" s="9"/>
      <c r="G83" s="9"/>
      <c r="H83" s="36"/>
      <c r="I83" s="38"/>
      <c r="J83" s="36"/>
      <c r="K83" s="36"/>
      <c r="L83" s="36"/>
      <c r="M83" s="36"/>
      <c r="N83" s="36"/>
      <c r="O83" s="36"/>
      <c r="P83" s="9"/>
      <c r="Q83" s="36"/>
      <c r="R83" s="9"/>
      <c r="S83" s="9"/>
      <c r="T83" s="39"/>
      <c r="U83" s="39"/>
      <c r="V83" s="36"/>
      <c r="W83" s="9"/>
      <c r="X83" s="9"/>
      <c r="Y83" s="9"/>
      <c r="Z83" s="9"/>
      <c r="AA83" s="9"/>
      <c r="AB83" s="9"/>
      <c r="AC83" s="9"/>
      <c r="AD83" s="37"/>
      <c r="AE83" s="38"/>
      <c r="AF83" s="39"/>
      <c r="AG83" s="39"/>
      <c r="AH83" s="9"/>
      <c r="AI83" s="9"/>
      <c r="AJ83" s="9"/>
      <c r="AK83" s="9"/>
      <c r="AL83" s="9"/>
      <c r="AM83" s="40"/>
      <c r="AN83" s="10" t="str">
        <f aca="false">IF(C83="","",C83&amp;"|"&amp;D83&amp;"|"&amp;E83&amp;"|"&amp;F83&amp;"|"&amp;Y83)</f>
        <v/>
      </c>
    </row>
    <row r="84" customFormat="false" ht="15" hidden="false" customHeight="false" outlineLevel="0" collapsed="false">
      <c r="A84" s="10" t="str">
        <f aca="false">IF(C84="","","RW-"&amp;IFERROR(VLOOKUP(C84,Lists!$M$4:$N$23,2,0),"??")&amp;"-H"&amp;TEXT(D84*1000,"0000")&amp;"-S"&amp;E84&amp;IF(F84="Y","-GW","")&amp;"-"&amp;X84)</f>
        <v/>
      </c>
      <c r="B84" s="10" t="str">
        <f aca="false">IF(C84="","",C84&amp;", H = "&amp;TEXT(D84,"0.0")&amp;" m, q = "&amp;E84&amp;" kPa"&amp;IF(F84="Y",", with GWT",""))</f>
        <v/>
      </c>
      <c r="C84" s="9"/>
      <c r="D84" s="39"/>
      <c r="E84" s="36"/>
      <c r="F84" s="9"/>
      <c r="G84" s="9"/>
      <c r="H84" s="36"/>
      <c r="I84" s="38"/>
      <c r="J84" s="36"/>
      <c r="K84" s="36"/>
      <c r="L84" s="36"/>
      <c r="M84" s="36"/>
      <c r="N84" s="36"/>
      <c r="O84" s="36"/>
      <c r="P84" s="9"/>
      <c r="Q84" s="36"/>
      <c r="R84" s="9"/>
      <c r="S84" s="9"/>
      <c r="T84" s="39"/>
      <c r="U84" s="39"/>
      <c r="V84" s="36"/>
      <c r="W84" s="9"/>
      <c r="X84" s="9"/>
      <c r="Y84" s="9"/>
      <c r="Z84" s="9"/>
      <c r="AA84" s="9"/>
      <c r="AB84" s="9"/>
      <c r="AC84" s="9"/>
      <c r="AD84" s="37"/>
      <c r="AE84" s="38"/>
      <c r="AF84" s="39"/>
      <c r="AG84" s="39"/>
      <c r="AH84" s="9"/>
      <c r="AI84" s="9"/>
      <c r="AJ84" s="9"/>
      <c r="AK84" s="9"/>
      <c r="AL84" s="9"/>
      <c r="AM84" s="40"/>
      <c r="AN84" s="10" t="str">
        <f aca="false">IF(C84="","",C84&amp;"|"&amp;D84&amp;"|"&amp;E84&amp;"|"&amp;F84&amp;"|"&amp;Y84)</f>
        <v/>
      </c>
    </row>
    <row r="85" customFormat="false" ht="15" hidden="false" customHeight="false" outlineLevel="0" collapsed="false">
      <c r="A85" s="10" t="str">
        <f aca="false">IF(C85="","","RW-"&amp;IFERROR(VLOOKUP(C85,Lists!$M$4:$N$23,2,0),"??")&amp;"-H"&amp;TEXT(D85*1000,"0000")&amp;"-S"&amp;E85&amp;IF(F85="Y","-GW","")&amp;"-"&amp;X85)</f>
        <v/>
      </c>
      <c r="B85" s="10" t="str">
        <f aca="false">IF(C85="","",C85&amp;", H = "&amp;TEXT(D85,"0.0")&amp;" m, q = "&amp;E85&amp;" kPa"&amp;IF(F85="Y",", with GWT",""))</f>
        <v/>
      </c>
      <c r="C85" s="9"/>
      <c r="D85" s="39"/>
      <c r="E85" s="36"/>
      <c r="F85" s="9"/>
      <c r="G85" s="9"/>
      <c r="H85" s="36"/>
      <c r="I85" s="38"/>
      <c r="J85" s="36"/>
      <c r="K85" s="36"/>
      <c r="L85" s="36"/>
      <c r="M85" s="36"/>
      <c r="N85" s="36"/>
      <c r="O85" s="36"/>
      <c r="P85" s="9"/>
      <c r="Q85" s="36"/>
      <c r="R85" s="9"/>
      <c r="S85" s="9"/>
      <c r="T85" s="39"/>
      <c r="U85" s="39"/>
      <c r="V85" s="36"/>
      <c r="W85" s="9"/>
      <c r="X85" s="9"/>
      <c r="Y85" s="9"/>
      <c r="Z85" s="9"/>
      <c r="AA85" s="9"/>
      <c r="AB85" s="9"/>
      <c r="AC85" s="9"/>
      <c r="AD85" s="37"/>
      <c r="AE85" s="38"/>
      <c r="AF85" s="39"/>
      <c r="AG85" s="39"/>
      <c r="AH85" s="9"/>
      <c r="AI85" s="9"/>
      <c r="AJ85" s="9"/>
      <c r="AK85" s="9"/>
      <c r="AL85" s="9"/>
      <c r="AM85" s="40"/>
      <c r="AN85" s="10" t="str">
        <f aca="false">IF(C85="","",C85&amp;"|"&amp;D85&amp;"|"&amp;E85&amp;"|"&amp;F85&amp;"|"&amp;Y85)</f>
        <v/>
      </c>
    </row>
    <row r="86" customFormat="false" ht="15" hidden="false" customHeight="false" outlineLevel="0" collapsed="false">
      <c r="A86" s="10" t="str">
        <f aca="false">IF(C86="","","RW-"&amp;IFERROR(VLOOKUP(C86,Lists!$M$4:$N$23,2,0),"??")&amp;"-H"&amp;TEXT(D86*1000,"0000")&amp;"-S"&amp;E86&amp;IF(F86="Y","-GW","")&amp;"-"&amp;X86)</f>
        <v/>
      </c>
      <c r="B86" s="10" t="str">
        <f aca="false">IF(C86="","",C86&amp;", H = "&amp;TEXT(D86,"0.0")&amp;" m, q = "&amp;E86&amp;" kPa"&amp;IF(F86="Y",", with GWT",""))</f>
        <v/>
      </c>
      <c r="C86" s="9"/>
      <c r="D86" s="39"/>
      <c r="E86" s="36"/>
      <c r="F86" s="9"/>
      <c r="G86" s="9"/>
      <c r="H86" s="36"/>
      <c r="I86" s="38"/>
      <c r="J86" s="36"/>
      <c r="K86" s="36"/>
      <c r="L86" s="36"/>
      <c r="M86" s="36"/>
      <c r="N86" s="36"/>
      <c r="O86" s="36"/>
      <c r="P86" s="9"/>
      <c r="Q86" s="36"/>
      <c r="R86" s="9"/>
      <c r="S86" s="9"/>
      <c r="T86" s="39"/>
      <c r="U86" s="39"/>
      <c r="V86" s="36"/>
      <c r="W86" s="9"/>
      <c r="X86" s="9"/>
      <c r="Y86" s="9"/>
      <c r="Z86" s="9"/>
      <c r="AA86" s="9"/>
      <c r="AB86" s="9"/>
      <c r="AC86" s="9"/>
      <c r="AD86" s="37"/>
      <c r="AE86" s="38"/>
      <c r="AF86" s="39"/>
      <c r="AG86" s="39"/>
      <c r="AH86" s="9"/>
      <c r="AI86" s="9"/>
      <c r="AJ86" s="9"/>
      <c r="AK86" s="9"/>
      <c r="AL86" s="9"/>
      <c r="AM86" s="40"/>
      <c r="AN86" s="10" t="str">
        <f aca="false">IF(C86="","",C86&amp;"|"&amp;D86&amp;"|"&amp;E86&amp;"|"&amp;F86&amp;"|"&amp;Y86)</f>
        <v/>
      </c>
    </row>
    <row r="87" customFormat="false" ht="15" hidden="false" customHeight="false" outlineLevel="0" collapsed="false">
      <c r="A87" s="10" t="str">
        <f aca="false">IF(C87="","","RW-"&amp;IFERROR(VLOOKUP(C87,Lists!$M$4:$N$23,2,0),"??")&amp;"-H"&amp;TEXT(D87*1000,"0000")&amp;"-S"&amp;E87&amp;IF(F87="Y","-GW","")&amp;"-"&amp;X87)</f>
        <v/>
      </c>
      <c r="B87" s="10" t="str">
        <f aca="false">IF(C87="","",C87&amp;", H = "&amp;TEXT(D87,"0.0")&amp;" m, q = "&amp;E87&amp;" kPa"&amp;IF(F87="Y",", with GWT",""))</f>
        <v/>
      </c>
      <c r="C87" s="9"/>
      <c r="D87" s="39"/>
      <c r="E87" s="36"/>
      <c r="F87" s="9"/>
      <c r="G87" s="9"/>
      <c r="H87" s="36"/>
      <c r="I87" s="38"/>
      <c r="J87" s="36"/>
      <c r="K87" s="36"/>
      <c r="L87" s="36"/>
      <c r="M87" s="36"/>
      <c r="N87" s="36"/>
      <c r="O87" s="36"/>
      <c r="P87" s="9"/>
      <c r="Q87" s="36"/>
      <c r="R87" s="9"/>
      <c r="S87" s="9"/>
      <c r="T87" s="39"/>
      <c r="U87" s="39"/>
      <c r="V87" s="36"/>
      <c r="W87" s="9"/>
      <c r="X87" s="9"/>
      <c r="Y87" s="9"/>
      <c r="Z87" s="9"/>
      <c r="AA87" s="9"/>
      <c r="AB87" s="9"/>
      <c r="AC87" s="9"/>
      <c r="AD87" s="37"/>
      <c r="AE87" s="38"/>
      <c r="AF87" s="39"/>
      <c r="AG87" s="39"/>
      <c r="AH87" s="9"/>
      <c r="AI87" s="9"/>
      <c r="AJ87" s="9"/>
      <c r="AK87" s="9"/>
      <c r="AL87" s="9"/>
      <c r="AM87" s="40"/>
      <c r="AN87" s="10" t="str">
        <f aca="false">IF(C87="","",C87&amp;"|"&amp;D87&amp;"|"&amp;E87&amp;"|"&amp;F87&amp;"|"&amp;Y87)</f>
        <v/>
      </c>
    </row>
    <row r="88" customFormat="false" ht="15" hidden="false" customHeight="false" outlineLevel="0" collapsed="false">
      <c r="A88" s="10" t="str">
        <f aca="false">IF(C88="","","RW-"&amp;IFERROR(VLOOKUP(C88,Lists!$M$4:$N$23,2,0),"??")&amp;"-H"&amp;TEXT(D88*1000,"0000")&amp;"-S"&amp;E88&amp;IF(F88="Y","-GW","")&amp;"-"&amp;X88)</f>
        <v/>
      </c>
      <c r="B88" s="10" t="str">
        <f aca="false">IF(C88="","",C88&amp;", H = "&amp;TEXT(D88,"0.0")&amp;" m, q = "&amp;E88&amp;" kPa"&amp;IF(F88="Y",", with GWT",""))</f>
        <v/>
      </c>
      <c r="C88" s="9"/>
      <c r="D88" s="39"/>
      <c r="E88" s="36"/>
      <c r="F88" s="9"/>
      <c r="G88" s="9"/>
      <c r="H88" s="36"/>
      <c r="I88" s="38"/>
      <c r="J88" s="36"/>
      <c r="K88" s="36"/>
      <c r="L88" s="36"/>
      <c r="M88" s="36"/>
      <c r="N88" s="36"/>
      <c r="O88" s="36"/>
      <c r="P88" s="9"/>
      <c r="Q88" s="36"/>
      <c r="R88" s="9"/>
      <c r="S88" s="9"/>
      <c r="T88" s="39"/>
      <c r="U88" s="39"/>
      <c r="V88" s="36"/>
      <c r="W88" s="9"/>
      <c r="X88" s="9"/>
      <c r="Y88" s="9"/>
      <c r="Z88" s="9"/>
      <c r="AA88" s="9"/>
      <c r="AB88" s="9"/>
      <c r="AC88" s="9"/>
      <c r="AD88" s="37"/>
      <c r="AE88" s="38"/>
      <c r="AF88" s="39"/>
      <c r="AG88" s="39"/>
      <c r="AH88" s="9"/>
      <c r="AI88" s="9"/>
      <c r="AJ88" s="9"/>
      <c r="AK88" s="9"/>
      <c r="AL88" s="9"/>
      <c r="AM88" s="40"/>
      <c r="AN88" s="10" t="str">
        <f aca="false">IF(C88="","",C88&amp;"|"&amp;D88&amp;"|"&amp;E88&amp;"|"&amp;F88&amp;"|"&amp;Y88)</f>
        <v/>
      </c>
    </row>
    <row r="89" customFormat="false" ht="15" hidden="false" customHeight="false" outlineLevel="0" collapsed="false">
      <c r="A89" s="10" t="str">
        <f aca="false">IF(C89="","","RW-"&amp;IFERROR(VLOOKUP(C89,Lists!$M$4:$N$23,2,0),"??")&amp;"-H"&amp;TEXT(D89*1000,"0000")&amp;"-S"&amp;E89&amp;IF(F89="Y","-GW","")&amp;"-"&amp;X89)</f>
        <v/>
      </c>
      <c r="B89" s="10" t="str">
        <f aca="false">IF(C89="","",C89&amp;", H = "&amp;TEXT(D89,"0.0")&amp;" m, q = "&amp;E89&amp;" kPa"&amp;IF(F89="Y",", with GWT",""))</f>
        <v/>
      </c>
      <c r="C89" s="9"/>
      <c r="D89" s="39"/>
      <c r="E89" s="36"/>
      <c r="F89" s="9"/>
      <c r="G89" s="9"/>
      <c r="H89" s="36"/>
      <c r="I89" s="38"/>
      <c r="J89" s="36"/>
      <c r="K89" s="36"/>
      <c r="L89" s="36"/>
      <c r="M89" s="36"/>
      <c r="N89" s="36"/>
      <c r="O89" s="36"/>
      <c r="P89" s="9"/>
      <c r="Q89" s="36"/>
      <c r="R89" s="9"/>
      <c r="S89" s="9"/>
      <c r="T89" s="39"/>
      <c r="U89" s="39"/>
      <c r="V89" s="36"/>
      <c r="W89" s="9"/>
      <c r="X89" s="9"/>
      <c r="Y89" s="9"/>
      <c r="Z89" s="9"/>
      <c r="AA89" s="9"/>
      <c r="AB89" s="9"/>
      <c r="AC89" s="9"/>
      <c r="AD89" s="37"/>
      <c r="AE89" s="38"/>
      <c r="AF89" s="39"/>
      <c r="AG89" s="39"/>
      <c r="AH89" s="9"/>
      <c r="AI89" s="9"/>
      <c r="AJ89" s="9"/>
      <c r="AK89" s="9"/>
      <c r="AL89" s="9"/>
      <c r="AM89" s="40"/>
      <c r="AN89" s="10" t="str">
        <f aca="false">IF(C89="","",C89&amp;"|"&amp;D89&amp;"|"&amp;E89&amp;"|"&amp;F89&amp;"|"&amp;Y89)</f>
        <v/>
      </c>
    </row>
    <row r="90" customFormat="false" ht="15" hidden="false" customHeight="false" outlineLevel="0" collapsed="false">
      <c r="A90" s="10" t="str">
        <f aca="false">IF(C90="","","RW-"&amp;IFERROR(VLOOKUP(C90,Lists!$M$4:$N$23,2,0),"??")&amp;"-H"&amp;TEXT(D90*1000,"0000")&amp;"-S"&amp;E90&amp;IF(F90="Y","-GW","")&amp;"-"&amp;X90)</f>
        <v/>
      </c>
      <c r="B90" s="10" t="str">
        <f aca="false">IF(C90="","",C90&amp;", H = "&amp;TEXT(D90,"0.0")&amp;" m, q = "&amp;E90&amp;" kPa"&amp;IF(F90="Y",", with GWT",""))</f>
        <v/>
      </c>
      <c r="C90" s="9"/>
      <c r="D90" s="39"/>
      <c r="E90" s="36"/>
      <c r="F90" s="9"/>
      <c r="G90" s="9"/>
      <c r="H90" s="36"/>
      <c r="I90" s="38"/>
      <c r="J90" s="36"/>
      <c r="K90" s="36"/>
      <c r="L90" s="36"/>
      <c r="M90" s="36"/>
      <c r="N90" s="36"/>
      <c r="O90" s="36"/>
      <c r="P90" s="9"/>
      <c r="Q90" s="36"/>
      <c r="R90" s="9"/>
      <c r="S90" s="9"/>
      <c r="T90" s="39"/>
      <c r="U90" s="39"/>
      <c r="V90" s="36"/>
      <c r="W90" s="9"/>
      <c r="X90" s="9"/>
      <c r="Y90" s="9"/>
      <c r="Z90" s="9"/>
      <c r="AA90" s="9"/>
      <c r="AB90" s="9"/>
      <c r="AC90" s="9"/>
      <c r="AD90" s="37"/>
      <c r="AE90" s="38"/>
      <c r="AF90" s="39"/>
      <c r="AG90" s="39"/>
      <c r="AH90" s="9"/>
      <c r="AI90" s="9"/>
      <c r="AJ90" s="9"/>
      <c r="AK90" s="9"/>
      <c r="AL90" s="9"/>
      <c r="AM90" s="40"/>
      <c r="AN90" s="10" t="str">
        <f aca="false">IF(C90="","",C90&amp;"|"&amp;D90&amp;"|"&amp;E90&amp;"|"&amp;F90&amp;"|"&amp;Y90)</f>
        <v/>
      </c>
    </row>
    <row r="91" customFormat="false" ht="15" hidden="false" customHeight="false" outlineLevel="0" collapsed="false">
      <c r="A91" s="10" t="str">
        <f aca="false">IF(C91="","","RW-"&amp;IFERROR(VLOOKUP(C91,Lists!$M$4:$N$23,2,0),"??")&amp;"-H"&amp;TEXT(D91*1000,"0000")&amp;"-S"&amp;E91&amp;IF(F91="Y","-GW","")&amp;"-"&amp;X91)</f>
        <v/>
      </c>
      <c r="B91" s="10" t="str">
        <f aca="false">IF(C91="","",C91&amp;", H = "&amp;TEXT(D91,"0.0")&amp;" m, q = "&amp;E91&amp;" kPa"&amp;IF(F91="Y",", with GWT",""))</f>
        <v/>
      </c>
      <c r="C91" s="9"/>
      <c r="D91" s="39"/>
      <c r="E91" s="36"/>
      <c r="F91" s="9"/>
      <c r="G91" s="9"/>
      <c r="H91" s="36"/>
      <c r="I91" s="38"/>
      <c r="J91" s="36"/>
      <c r="K91" s="36"/>
      <c r="L91" s="36"/>
      <c r="M91" s="36"/>
      <c r="N91" s="36"/>
      <c r="O91" s="36"/>
      <c r="P91" s="9"/>
      <c r="Q91" s="36"/>
      <c r="R91" s="9"/>
      <c r="S91" s="9"/>
      <c r="T91" s="39"/>
      <c r="U91" s="39"/>
      <c r="V91" s="36"/>
      <c r="W91" s="9"/>
      <c r="X91" s="9"/>
      <c r="Y91" s="9"/>
      <c r="Z91" s="9"/>
      <c r="AA91" s="9"/>
      <c r="AB91" s="9"/>
      <c r="AC91" s="9"/>
      <c r="AD91" s="37"/>
      <c r="AE91" s="38"/>
      <c r="AF91" s="39"/>
      <c r="AG91" s="39"/>
      <c r="AH91" s="9"/>
      <c r="AI91" s="9"/>
      <c r="AJ91" s="9"/>
      <c r="AK91" s="9"/>
      <c r="AL91" s="9"/>
      <c r="AM91" s="40"/>
      <c r="AN91" s="10" t="str">
        <f aca="false">IF(C91="","",C91&amp;"|"&amp;D91&amp;"|"&amp;E91&amp;"|"&amp;F91&amp;"|"&amp;Y91)</f>
        <v/>
      </c>
    </row>
    <row r="92" customFormat="false" ht="15" hidden="false" customHeight="false" outlineLevel="0" collapsed="false">
      <c r="A92" s="10" t="str">
        <f aca="false">IF(C92="","","RW-"&amp;IFERROR(VLOOKUP(C92,Lists!$M$4:$N$23,2,0),"??")&amp;"-H"&amp;TEXT(D92*1000,"0000")&amp;"-S"&amp;E92&amp;IF(F92="Y","-GW","")&amp;"-"&amp;X92)</f>
        <v/>
      </c>
      <c r="B92" s="10" t="str">
        <f aca="false">IF(C92="","",C92&amp;", H = "&amp;TEXT(D92,"0.0")&amp;" m, q = "&amp;E92&amp;" kPa"&amp;IF(F92="Y",", with GWT",""))</f>
        <v/>
      </c>
      <c r="C92" s="9"/>
      <c r="D92" s="39"/>
      <c r="E92" s="36"/>
      <c r="F92" s="9"/>
      <c r="G92" s="9"/>
      <c r="H92" s="36"/>
      <c r="I92" s="38"/>
      <c r="J92" s="36"/>
      <c r="K92" s="36"/>
      <c r="L92" s="36"/>
      <c r="M92" s="36"/>
      <c r="N92" s="36"/>
      <c r="O92" s="36"/>
      <c r="P92" s="9"/>
      <c r="Q92" s="36"/>
      <c r="R92" s="9"/>
      <c r="S92" s="9"/>
      <c r="T92" s="39"/>
      <c r="U92" s="39"/>
      <c r="V92" s="36"/>
      <c r="W92" s="9"/>
      <c r="X92" s="9"/>
      <c r="Y92" s="9"/>
      <c r="Z92" s="9"/>
      <c r="AA92" s="9"/>
      <c r="AB92" s="9"/>
      <c r="AC92" s="9"/>
      <c r="AD92" s="37"/>
      <c r="AE92" s="38"/>
      <c r="AF92" s="39"/>
      <c r="AG92" s="39"/>
      <c r="AH92" s="9"/>
      <c r="AI92" s="9"/>
      <c r="AJ92" s="9"/>
      <c r="AK92" s="9"/>
      <c r="AL92" s="9"/>
      <c r="AM92" s="40"/>
      <c r="AN92" s="10" t="str">
        <f aca="false">IF(C92="","",C92&amp;"|"&amp;D92&amp;"|"&amp;E92&amp;"|"&amp;F92&amp;"|"&amp;Y92)</f>
        <v/>
      </c>
    </row>
    <row r="93" customFormat="false" ht="15" hidden="false" customHeight="false" outlineLevel="0" collapsed="false">
      <c r="A93" s="10" t="str">
        <f aca="false">IF(C93="","","RW-"&amp;IFERROR(VLOOKUP(C93,Lists!$M$4:$N$23,2,0),"??")&amp;"-H"&amp;TEXT(D93*1000,"0000")&amp;"-S"&amp;E93&amp;IF(F93="Y","-GW","")&amp;"-"&amp;X93)</f>
        <v/>
      </c>
      <c r="B93" s="10" t="str">
        <f aca="false">IF(C93="","",C93&amp;", H = "&amp;TEXT(D93,"0.0")&amp;" m, q = "&amp;E93&amp;" kPa"&amp;IF(F93="Y",", with GWT",""))</f>
        <v/>
      </c>
      <c r="C93" s="9"/>
      <c r="D93" s="39"/>
      <c r="E93" s="36"/>
      <c r="F93" s="9"/>
      <c r="G93" s="9"/>
      <c r="H93" s="36"/>
      <c r="I93" s="38"/>
      <c r="J93" s="36"/>
      <c r="K93" s="36"/>
      <c r="L93" s="36"/>
      <c r="M93" s="36"/>
      <c r="N93" s="36"/>
      <c r="O93" s="36"/>
      <c r="P93" s="9"/>
      <c r="Q93" s="36"/>
      <c r="R93" s="9"/>
      <c r="S93" s="9"/>
      <c r="T93" s="39"/>
      <c r="U93" s="39"/>
      <c r="V93" s="36"/>
      <c r="W93" s="9"/>
      <c r="X93" s="9"/>
      <c r="Y93" s="9"/>
      <c r="Z93" s="9"/>
      <c r="AA93" s="9"/>
      <c r="AB93" s="9"/>
      <c r="AC93" s="9"/>
      <c r="AD93" s="37"/>
      <c r="AE93" s="38"/>
      <c r="AF93" s="39"/>
      <c r="AG93" s="39"/>
      <c r="AH93" s="9"/>
      <c r="AI93" s="9"/>
      <c r="AJ93" s="9"/>
      <c r="AK93" s="9"/>
      <c r="AL93" s="9"/>
      <c r="AM93" s="40"/>
      <c r="AN93" s="10" t="str">
        <f aca="false">IF(C93="","",C93&amp;"|"&amp;D93&amp;"|"&amp;E93&amp;"|"&amp;F93&amp;"|"&amp;Y93)</f>
        <v/>
      </c>
    </row>
    <row r="94" customFormat="false" ht="15" hidden="false" customHeight="false" outlineLevel="0" collapsed="false">
      <c r="A94" s="10" t="str">
        <f aca="false">IF(C94="","","RW-"&amp;IFERROR(VLOOKUP(C94,Lists!$M$4:$N$23,2,0),"??")&amp;"-H"&amp;TEXT(D94*1000,"0000")&amp;"-S"&amp;E94&amp;IF(F94="Y","-GW","")&amp;"-"&amp;X94)</f>
        <v/>
      </c>
      <c r="B94" s="10" t="str">
        <f aca="false">IF(C94="","",C94&amp;", H = "&amp;TEXT(D94,"0.0")&amp;" m, q = "&amp;E94&amp;" kPa"&amp;IF(F94="Y",", with GWT",""))</f>
        <v/>
      </c>
      <c r="C94" s="9"/>
      <c r="D94" s="39"/>
      <c r="E94" s="36"/>
      <c r="F94" s="9"/>
      <c r="G94" s="9"/>
      <c r="H94" s="36"/>
      <c r="I94" s="38"/>
      <c r="J94" s="36"/>
      <c r="K94" s="36"/>
      <c r="L94" s="36"/>
      <c r="M94" s="36"/>
      <c r="N94" s="36"/>
      <c r="O94" s="36"/>
      <c r="P94" s="9"/>
      <c r="Q94" s="36"/>
      <c r="R94" s="9"/>
      <c r="S94" s="9"/>
      <c r="T94" s="39"/>
      <c r="U94" s="39"/>
      <c r="V94" s="36"/>
      <c r="W94" s="9"/>
      <c r="X94" s="9"/>
      <c r="Y94" s="9"/>
      <c r="Z94" s="9"/>
      <c r="AA94" s="9"/>
      <c r="AB94" s="9"/>
      <c r="AC94" s="9"/>
      <c r="AD94" s="37"/>
      <c r="AE94" s="38"/>
      <c r="AF94" s="39"/>
      <c r="AG94" s="39"/>
      <c r="AH94" s="9"/>
      <c r="AI94" s="9"/>
      <c r="AJ94" s="9"/>
      <c r="AK94" s="9"/>
      <c r="AL94" s="9"/>
      <c r="AM94" s="40"/>
      <c r="AN94" s="10" t="str">
        <f aca="false">IF(C94="","",C94&amp;"|"&amp;D94&amp;"|"&amp;E94&amp;"|"&amp;F94&amp;"|"&amp;Y94)</f>
        <v/>
      </c>
    </row>
    <row r="95" customFormat="false" ht="15" hidden="false" customHeight="false" outlineLevel="0" collapsed="false">
      <c r="A95" s="10" t="str">
        <f aca="false">IF(C95="","","RW-"&amp;IFERROR(VLOOKUP(C95,Lists!$M$4:$N$23,2,0),"??")&amp;"-H"&amp;TEXT(D95*1000,"0000")&amp;"-S"&amp;E95&amp;IF(F95="Y","-GW","")&amp;"-"&amp;X95)</f>
        <v/>
      </c>
      <c r="B95" s="10" t="str">
        <f aca="false">IF(C95="","",C95&amp;", H = "&amp;TEXT(D95,"0.0")&amp;" m, q = "&amp;E95&amp;" kPa"&amp;IF(F95="Y",", with GWT",""))</f>
        <v/>
      </c>
      <c r="C95" s="9"/>
      <c r="D95" s="39"/>
      <c r="E95" s="36"/>
      <c r="F95" s="9"/>
      <c r="G95" s="9"/>
      <c r="H95" s="36"/>
      <c r="I95" s="38"/>
      <c r="J95" s="36"/>
      <c r="K95" s="36"/>
      <c r="L95" s="36"/>
      <c r="M95" s="36"/>
      <c r="N95" s="36"/>
      <c r="O95" s="36"/>
      <c r="P95" s="9"/>
      <c r="Q95" s="36"/>
      <c r="R95" s="9"/>
      <c r="S95" s="9"/>
      <c r="T95" s="39"/>
      <c r="U95" s="39"/>
      <c r="V95" s="36"/>
      <c r="W95" s="9"/>
      <c r="X95" s="9"/>
      <c r="Y95" s="9"/>
      <c r="Z95" s="9"/>
      <c r="AA95" s="9"/>
      <c r="AB95" s="9"/>
      <c r="AC95" s="9"/>
      <c r="AD95" s="37"/>
      <c r="AE95" s="38"/>
      <c r="AF95" s="39"/>
      <c r="AG95" s="39"/>
      <c r="AH95" s="9"/>
      <c r="AI95" s="9"/>
      <c r="AJ95" s="9"/>
      <c r="AK95" s="9"/>
      <c r="AL95" s="9"/>
      <c r="AM95" s="40"/>
      <c r="AN95" s="10" t="str">
        <f aca="false">IF(C95="","",C95&amp;"|"&amp;D95&amp;"|"&amp;E95&amp;"|"&amp;F95&amp;"|"&amp;Y95)</f>
        <v/>
      </c>
    </row>
    <row r="96" customFormat="false" ht="15" hidden="false" customHeight="false" outlineLevel="0" collapsed="false">
      <c r="A96" s="10" t="str">
        <f aca="false">IF(C96="","","RW-"&amp;IFERROR(VLOOKUP(C96,Lists!$M$4:$N$23,2,0),"??")&amp;"-H"&amp;TEXT(D96*1000,"0000")&amp;"-S"&amp;E96&amp;IF(F96="Y","-GW","")&amp;"-"&amp;X96)</f>
        <v/>
      </c>
      <c r="B96" s="10" t="str">
        <f aca="false">IF(C96="","",C96&amp;", H = "&amp;TEXT(D96,"0.0")&amp;" m, q = "&amp;E96&amp;" kPa"&amp;IF(F96="Y",", with GWT",""))</f>
        <v/>
      </c>
      <c r="C96" s="9"/>
      <c r="D96" s="39"/>
      <c r="E96" s="36"/>
      <c r="F96" s="9"/>
      <c r="G96" s="9"/>
      <c r="H96" s="36"/>
      <c r="I96" s="38"/>
      <c r="J96" s="36"/>
      <c r="K96" s="36"/>
      <c r="L96" s="36"/>
      <c r="M96" s="36"/>
      <c r="N96" s="36"/>
      <c r="O96" s="36"/>
      <c r="P96" s="9"/>
      <c r="Q96" s="36"/>
      <c r="R96" s="9"/>
      <c r="S96" s="9"/>
      <c r="T96" s="39"/>
      <c r="U96" s="39"/>
      <c r="V96" s="36"/>
      <c r="W96" s="9"/>
      <c r="X96" s="9"/>
      <c r="Y96" s="9"/>
      <c r="Z96" s="9"/>
      <c r="AA96" s="9"/>
      <c r="AB96" s="9"/>
      <c r="AC96" s="9"/>
      <c r="AD96" s="37"/>
      <c r="AE96" s="38"/>
      <c r="AF96" s="39"/>
      <c r="AG96" s="39"/>
      <c r="AH96" s="9"/>
      <c r="AI96" s="9"/>
      <c r="AJ96" s="9"/>
      <c r="AK96" s="9"/>
      <c r="AL96" s="9"/>
      <c r="AM96" s="40"/>
      <c r="AN96" s="10" t="str">
        <f aca="false">IF(C96="","",C96&amp;"|"&amp;D96&amp;"|"&amp;E96&amp;"|"&amp;F96&amp;"|"&amp;Y96)</f>
        <v/>
      </c>
    </row>
    <row r="97" customFormat="false" ht="15" hidden="false" customHeight="false" outlineLevel="0" collapsed="false">
      <c r="A97" s="10" t="str">
        <f aca="false">IF(C97="","","RW-"&amp;IFERROR(VLOOKUP(C97,Lists!$M$4:$N$23,2,0),"??")&amp;"-H"&amp;TEXT(D97*1000,"0000")&amp;"-S"&amp;E97&amp;IF(F97="Y","-GW","")&amp;"-"&amp;X97)</f>
        <v/>
      </c>
      <c r="B97" s="10" t="str">
        <f aca="false">IF(C97="","",C97&amp;", H = "&amp;TEXT(D97,"0.0")&amp;" m, q = "&amp;E97&amp;" kPa"&amp;IF(F97="Y",", with GWT",""))</f>
        <v/>
      </c>
      <c r="C97" s="9"/>
      <c r="D97" s="39"/>
      <c r="E97" s="36"/>
      <c r="F97" s="9"/>
      <c r="G97" s="9"/>
      <c r="H97" s="36"/>
      <c r="I97" s="38"/>
      <c r="J97" s="36"/>
      <c r="K97" s="36"/>
      <c r="L97" s="36"/>
      <c r="M97" s="36"/>
      <c r="N97" s="36"/>
      <c r="O97" s="36"/>
      <c r="P97" s="9"/>
      <c r="Q97" s="36"/>
      <c r="R97" s="9"/>
      <c r="S97" s="9"/>
      <c r="T97" s="39"/>
      <c r="U97" s="39"/>
      <c r="V97" s="36"/>
      <c r="W97" s="9"/>
      <c r="X97" s="9"/>
      <c r="Y97" s="9"/>
      <c r="Z97" s="9"/>
      <c r="AA97" s="9"/>
      <c r="AB97" s="9"/>
      <c r="AC97" s="9"/>
      <c r="AD97" s="37"/>
      <c r="AE97" s="38"/>
      <c r="AF97" s="39"/>
      <c r="AG97" s="39"/>
      <c r="AH97" s="9"/>
      <c r="AI97" s="9"/>
      <c r="AJ97" s="9"/>
      <c r="AK97" s="9"/>
      <c r="AL97" s="9"/>
      <c r="AM97" s="40"/>
      <c r="AN97" s="10" t="str">
        <f aca="false">IF(C97="","",C97&amp;"|"&amp;D97&amp;"|"&amp;E97&amp;"|"&amp;F97&amp;"|"&amp;Y97)</f>
        <v/>
      </c>
    </row>
    <row r="98" customFormat="false" ht="15" hidden="false" customHeight="false" outlineLevel="0" collapsed="false">
      <c r="A98" s="10" t="str">
        <f aca="false">IF(C98="","","RW-"&amp;IFERROR(VLOOKUP(C98,Lists!$M$4:$N$23,2,0),"??")&amp;"-H"&amp;TEXT(D98*1000,"0000")&amp;"-S"&amp;E98&amp;IF(F98="Y","-GW","")&amp;"-"&amp;X98)</f>
        <v/>
      </c>
      <c r="B98" s="10" t="str">
        <f aca="false">IF(C98="","",C98&amp;", H = "&amp;TEXT(D98,"0.0")&amp;" m, q = "&amp;E98&amp;" kPa"&amp;IF(F98="Y",", with GWT",""))</f>
        <v/>
      </c>
      <c r="C98" s="9"/>
      <c r="D98" s="39"/>
      <c r="E98" s="36"/>
      <c r="F98" s="9"/>
      <c r="G98" s="9"/>
      <c r="H98" s="36"/>
      <c r="I98" s="38"/>
      <c r="J98" s="36"/>
      <c r="K98" s="36"/>
      <c r="L98" s="36"/>
      <c r="M98" s="36"/>
      <c r="N98" s="36"/>
      <c r="O98" s="36"/>
      <c r="P98" s="9"/>
      <c r="Q98" s="36"/>
      <c r="R98" s="9"/>
      <c r="S98" s="9"/>
      <c r="T98" s="39"/>
      <c r="U98" s="39"/>
      <c r="V98" s="36"/>
      <c r="W98" s="9"/>
      <c r="X98" s="9"/>
      <c r="Y98" s="9"/>
      <c r="Z98" s="9"/>
      <c r="AA98" s="9"/>
      <c r="AB98" s="9"/>
      <c r="AC98" s="9"/>
      <c r="AD98" s="37"/>
      <c r="AE98" s="38"/>
      <c r="AF98" s="39"/>
      <c r="AG98" s="39"/>
      <c r="AH98" s="9"/>
      <c r="AI98" s="9"/>
      <c r="AJ98" s="9"/>
      <c r="AK98" s="9"/>
      <c r="AL98" s="9"/>
      <c r="AM98" s="40"/>
      <c r="AN98" s="10" t="str">
        <f aca="false">IF(C98="","",C98&amp;"|"&amp;D98&amp;"|"&amp;E98&amp;"|"&amp;F98&amp;"|"&amp;Y98)</f>
        <v/>
      </c>
    </row>
    <row r="99" customFormat="false" ht="15" hidden="false" customHeight="false" outlineLevel="0" collapsed="false">
      <c r="A99" s="10" t="str">
        <f aca="false">IF(C99="","","RW-"&amp;IFERROR(VLOOKUP(C99,Lists!$M$4:$N$23,2,0),"??")&amp;"-H"&amp;TEXT(D99*1000,"0000")&amp;"-S"&amp;E99&amp;IF(F99="Y","-GW","")&amp;"-"&amp;X99)</f>
        <v/>
      </c>
      <c r="B99" s="10" t="str">
        <f aca="false">IF(C99="","",C99&amp;", H = "&amp;TEXT(D99,"0.0")&amp;" m, q = "&amp;E99&amp;" kPa"&amp;IF(F99="Y",", with GWT",""))</f>
        <v/>
      </c>
      <c r="C99" s="9"/>
      <c r="D99" s="39"/>
      <c r="E99" s="36"/>
      <c r="F99" s="9"/>
      <c r="G99" s="9"/>
      <c r="H99" s="36"/>
      <c r="I99" s="38"/>
      <c r="J99" s="36"/>
      <c r="K99" s="36"/>
      <c r="L99" s="36"/>
      <c r="M99" s="36"/>
      <c r="N99" s="36"/>
      <c r="O99" s="36"/>
      <c r="P99" s="9"/>
      <c r="Q99" s="36"/>
      <c r="R99" s="9"/>
      <c r="S99" s="9"/>
      <c r="T99" s="39"/>
      <c r="U99" s="39"/>
      <c r="V99" s="36"/>
      <c r="W99" s="9"/>
      <c r="X99" s="9"/>
      <c r="Y99" s="9"/>
      <c r="Z99" s="9"/>
      <c r="AA99" s="9"/>
      <c r="AB99" s="9"/>
      <c r="AC99" s="9"/>
      <c r="AD99" s="37"/>
      <c r="AE99" s="38"/>
      <c r="AF99" s="39"/>
      <c r="AG99" s="39"/>
      <c r="AH99" s="9"/>
      <c r="AI99" s="9"/>
      <c r="AJ99" s="9"/>
      <c r="AK99" s="9"/>
      <c r="AL99" s="9"/>
      <c r="AM99" s="40"/>
      <c r="AN99" s="10" t="str">
        <f aca="false">IF(C99="","",C99&amp;"|"&amp;D99&amp;"|"&amp;E99&amp;"|"&amp;F99&amp;"|"&amp;Y99)</f>
        <v/>
      </c>
    </row>
    <row r="100" customFormat="false" ht="15" hidden="false" customHeight="false" outlineLevel="0" collapsed="false">
      <c r="A100" s="10" t="str">
        <f aca="false">IF(C100="","","RW-"&amp;IFERROR(VLOOKUP(C100,Lists!$M$4:$N$23,2,0),"??")&amp;"-H"&amp;TEXT(D100*1000,"0000")&amp;"-S"&amp;E100&amp;IF(F100="Y","-GW","")&amp;"-"&amp;X100)</f>
        <v/>
      </c>
      <c r="B100" s="10" t="str">
        <f aca="false">IF(C100="","",C100&amp;", H = "&amp;TEXT(D100,"0.0")&amp;" m, q = "&amp;E100&amp;" kPa"&amp;IF(F100="Y",", with GWT",""))</f>
        <v/>
      </c>
      <c r="C100" s="9"/>
      <c r="D100" s="39"/>
      <c r="E100" s="36"/>
      <c r="F100" s="9"/>
      <c r="G100" s="9"/>
      <c r="H100" s="36"/>
      <c r="I100" s="38"/>
      <c r="J100" s="36"/>
      <c r="K100" s="36"/>
      <c r="L100" s="36"/>
      <c r="M100" s="36"/>
      <c r="N100" s="36"/>
      <c r="O100" s="36"/>
      <c r="P100" s="9"/>
      <c r="Q100" s="36"/>
      <c r="R100" s="9"/>
      <c r="S100" s="9"/>
      <c r="T100" s="39"/>
      <c r="U100" s="39"/>
      <c r="V100" s="36"/>
      <c r="W100" s="9"/>
      <c r="X100" s="9"/>
      <c r="Y100" s="9"/>
      <c r="Z100" s="9"/>
      <c r="AA100" s="9"/>
      <c r="AB100" s="9"/>
      <c r="AC100" s="9"/>
      <c r="AD100" s="37"/>
      <c r="AE100" s="38"/>
      <c r="AF100" s="39"/>
      <c r="AG100" s="39"/>
      <c r="AH100" s="9"/>
      <c r="AI100" s="9"/>
      <c r="AJ100" s="9"/>
      <c r="AK100" s="9"/>
      <c r="AL100" s="9"/>
      <c r="AM100" s="40"/>
      <c r="AN100" s="10" t="str">
        <f aca="false">IF(C100="","",C100&amp;"|"&amp;D100&amp;"|"&amp;E100&amp;"|"&amp;F100&amp;"|"&amp;Y100)</f>
        <v/>
      </c>
    </row>
    <row r="101" customFormat="false" ht="15" hidden="false" customHeight="false" outlineLevel="0" collapsed="false">
      <c r="A101" s="10" t="str">
        <f aca="false">IF(C101="","","RW-"&amp;IFERROR(VLOOKUP(C101,Lists!$M$4:$N$23,2,0),"??")&amp;"-H"&amp;TEXT(D101*1000,"0000")&amp;"-S"&amp;E101&amp;IF(F101="Y","-GW","")&amp;"-"&amp;X101)</f>
        <v/>
      </c>
      <c r="B101" s="10" t="str">
        <f aca="false">IF(C101="","",C101&amp;", H = "&amp;TEXT(D101,"0.0")&amp;" m, q = "&amp;E101&amp;" kPa"&amp;IF(F101="Y",", with GWT",""))</f>
        <v/>
      </c>
      <c r="C101" s="9"/>
      <c r="D101" s="39"/>
      <c r="E101" s="36"/>
      <c r="F101" s="9"/>
      <c r="G101" s="9"/>
      <c r="H101" s="36"/>
      <c r="I101" s="38"/>
      <c r="J101" s="36"/>
      <c r="K101" s="36"/>
      <c r="L101" s="36"/>
      <c r="M101" s="36"/>
      <c r="N101" s="36"/>
      <c r="O101" s="36"/>
      <c r="P101" s="9"/>
      <c r="Q101" s="36"/>
      <c r="R101" s="9"/>
      <c r="S101" s="9"/>
      <c r="T101" s="39"/>
      <c r="U101" s="39"/>
      <c r="V101" s="36"/>
      <c r="W101" s="9"/>
      <c r="X101" s="9"/>
      <c r="Y101" s="9"/>
      <c r="Z101" s="9"/>
      <c r="AA101" s="9"/>
      <c r="AB101" s="9"/>
      <c r="AC101" s="9"/>
      <c r="AD101" s="37"/>
      <c r="AE101" s="38"/>
      <c r="AF101" s="39"/>
      <c r="AG101" s="39"/>
      <c r="AH101" s="9"/>
      <c r="AI101" s="9"/>
      <c r="AJ101" s="9"/>
      <c r="AK101" s="9"/>
      <c r="AL101" s="9"/>
      <c r="AM101" s="40"/>
      <c r="AN101" s="10" t="str">
        <f aca="false">IF(C101="","",C101&amp;"|"&amp;D101&amp;"|"&amp;E101&amp;"|"&amp;F101&amp;"|"&amp;Y101)</f>
        <v/>
      </c>
    </row>
    <row r="102" customFormat="false" ht="15" hidden="false" customHeight="false" outlineLevel="0" collapsed="false">
      <c r="A102" s="10" t="str">
        <f aca="false">IF(C102="","","RW-"&amp;IFERROR(VLOOKUP(C102,Lists!$M$4:$N$23,2,0),"??")&amp;"-H"&amp;TEXT(D102*1000,"0000")&amp;"-S"&amp;E102&amp;IF(F102="Y","-GW","")&amp;"-"&amp;X102)</f>
        <v/>
      </c>
      <c r="B102" s="10" t="str">
        <f aca="false">IF(C102="","",C102&amp;", H = "&amp;TEXT(D102,"0.0")&amp;" m, q = "&amp;E102&amp;" kPa"&amp;IF(F102="Y",", with GWT",""))</f>
        <v/>
      </c>
      <c r="C102" s="9"/>
      <c r="D102" s="39"/>
      <c r="E102" s="36"/>
      <c r="F102" s="9"/>
      <c r="G102" s="9"/>
      <c r="H102" s="36"/>
      <c r="I102" s="38"/>
      <c r="J102" s="36"/>
      <c r="K102" s="36"/>
      <c r="L102" s="36"/>
      <c r="M102" s="36"/>
      <c r="N102" s="36"/>
      <c r="O102" s="36"/>
      <c r="P102" s="9"/>
      <c r="Q102" s="36"/>
      <c r="R102" s="9"/>
      <c r="S102" s="9"/>
      <c r="T102" s="39"/>
      <c r="U102" s="39"/>
      <c r="V102" s="36"/>
      <c r="W102" s="9"/>
      <c r="X102" s="9"/>
      <c r="Y102" s="9"/>
      <c r="Z102" s="9"/>
      <c r="AA102" s="9"/>
      <c r="AB102" s="9"/>
      <c r="AC102" s="9"/>
      <c r="AD102" s="37"/>
      <c r="AE102" s="38"/>
      <c r="AF102" s="39"/>
      <c r="AG102" s="39"/>
      <c r="AH102" s="9"/>
      <c r="AI102" s="9"/>
      <c r="AJ102" s="9"/>
      <c r="AK102" s="9"/>
      <c r="AL102" s="9"/>
      <c r="AM102" s="40"/>
      <c r="AN102" s="10" t="str">
        <f aca="false">IF(C102="","",C102&amp;"|"&amp;D102&amp;"|"&amp;E102&amp;"|"&amp;F102&amp;"|"&amp;Y102)</f>
        <v/>
      </c>
    </row>
    <row r="103" customFormat="false" ht="15" hidden="false" customHeight="false" outlineLevel="0" collapsed="false">
      <c r="A103" s="10" t="str">
        <f aca="false">IF(C103="","","RW-"&amp;IFERROR(VLOOKUP(C103,Lists!$M$4:$N$23,2,0),"??")&amp;"-H"&amp;TEXT(D103*1000,"0000")&amp;"-S"&amp;E103&amp;IF(F103="Y","-GW","")&amp;"-"&amp;X103)</f>
        <v/>
      </c>
      <c r="B103" s="10" t="str">
        <f aca="false">IF(C103="","",C103&amp;", H = "&amp;TEXT(D103,"0.0")&amp;" m, q = "&amp;E103&amp;" kPa"&amp;IF(F103="Y",", with GWT",""))</f>
        <v/>
      </c>
      <c r="C103" s="9"/>
      <c r="D103" s="39"/>
      <c r="E103" s="36"/>
      <c r="F103" s="9"/>
      <c r="G103" s="9"/>
      <c r="H103" s="36"/>
      <c r="I103" s="38"/>
      <c r="J103" s="36"/>
      <c r="K103" s="36"/>
      <c r="L103" s="36"/>
      <c r="M103" s="36"/>
      <c r="N103" s="36"/>
      <c r="O103" s="36"/>
      <c r="P103" s="9"/>
      <c r="Q103" s="36"/>
      <c r="R103" s="9"/>
      <c r="S103" s="9"/>
      <c r="T103" s="39"/>
      <c r="U103" s="39"/>
      <c r="V103" s="36"/>
      <c r="W103" s="9"/>
      <c r="X103" s="9"/>
      <c r="Y103" s="9"/>
      <c r="Z103" s="9"/>
      <c r="AA103" s="9"/>
      <c r="AB103" s="9"/>
      <c r="AC103" s="9"/>
      <c r="AD103" s="37"/>
      <c r="AE103" s="38"/>
      <c r="AF103" s="39"/>
      <c r="AG103" s="39"/>
      <c r="AH103" s="9"/>
      <c r="AI103" s="9"/>
      <c r="AJ103" s="9"/>
      <c r="AK103" s="9"/>
      <c r="AL103" s="9"/>
      <c r="AM103" s="40"/>
      <c r="AN103" s="10" t="str">
        <f aca="false">IF(C103="","",C103&amp;"|"&amp;D103&amp;"|"&amp;E103&amp;"|"&amp;F103&amp;"|"&amp;Y103)</f>
        <v/>
      </c>
    </row>
    <row r="104" customFormat="false" ht="15" hidden="false" customHeight="false" outlineLevel="0" collapsed="false">
      <c r="A104" s="10" t="str">
        <f aca="false">IF(C104="","","RW-"&amp;IFERROR(VLOOKUP(C104,Lists!$M$4:$N$23,2,0),"??")&amp;"-H"&amp;TEXT(D104*1000,"0000")&amp;"-S"&amp;E104&amp;IF(F104="Y","-GW","")&amp;"-"&amp;X104)</f>
        <v/>
      </c>
      <c r="B104" s="10" t="str">
        <f aca="false">IF(C104="","",C104&amp;", H = "&amp;TEXT(D104,"0.0")&amp;" m, q = "&amp;E104&amp;" kPa"&amp;IF(F104="Y",", with GWT",""))</f>
        <v/>
      </c>
      <c r="C104" s="9"/>
      <c r="D104" s="39"/>
      <c r="E104" s="36"/>
      <c r="F104" s="9"/>
      <c r="G104" s="9"/>
      <c r="H104" s="36"/>
      <c r="I104" s="38"/>
      <c r="J104" s="36"/>
      <c r="K104" s="36"/>
      <c r="L104" s="36"/>
      <c r="M104" s="36"/>
      <c r="N104" s="36"/>
      <c r="O104" s="36"/>
      <c r="P104" s="9"/>
      <c r="Q104" s="36"/>
      <c r="R104" s="9"/>
      <c r="S104" s="9"/>
      <c r="T104" s="39"/>
      <c r="U104" s="39"/>
      <c r="V104" s="36"/>
      <c r="W104" s="9"/>
      <c r="X104" s="9"/>
      <c r="Y104" s="9"/>
      <c r="Z104" s="9"/>
      <c r="AA104" s="9"/>
      <c r="AB104" s="9"/>
      <c r="AC104" s="9"/>
      <c r="AD104" s="37"/>
      <c r="AE104" s="38"/>
      <c r="AF104" s="39"/>
      <c r="AG104" s="39"/>
      <c r="AH104" s="9"/>
      <c r="AI104" s="9"/>
      <c r="AJ104" s="9"/>
      <c r="AK104" s="9"/>
      <c r="AL104" s="9"/>
      <c r="AM104" s="40"/>
      <c r="AN104" s="10" t="str">
        <f aca="false">IF(C104="","",C104&amp;"|"&amp;D104&amp;"|"&amp;E104&amp;"|"&amp;F104&amp;"|"&amp;Y104)</f>
        <v/>
      </c>
    </row>
    <row r="105" customFormat="false" ht="15" hidden="false" customHeight="false" outlineLevel="0" collapsed="false">
      <c r="A105" s="10" t="str">
        <f aca="false">IF(C105="","","RW-"&amp;IFERROR(VLOOKUP(C105,Lists!$M$4:$N$23,2,0),"??")&amp;"-H"&amp;TEXT(D105*1000,"0000")&amp;"-S"&amp;E105&amp;IF(F105="Y","-GW","")&amp;"-"&amp;X105)</f>
        <v/>
      </c>
      <c r="B105" s="10" t="str">
        <f aca="false">IF(C105="","",C105&amp;", H = "&amp;TEXT(D105,"0.0")&amp;" m, q = "&amp;E105&amp;" kPa"&amp;IF(F105="Y",", with GWT",""))</f>
        <v/>
      </c>
      <c r="C105" s="9"/>
      <c r="D105" s="39"/>
      <c r="E105" s="36"/>
      <c r="F105" s="9"/>
      <c r="G105" s="9"/>
      <c r="H105" s="36"/>
      <c r="I105" s="38"/>
      <c r="J105" s="36"/>
      <c r="K105" s="36"/>
      <c r="L105" s="36"/>
      <c r="M105" s="36"/>
      <c r="N105" s="36"/>
      <c r="O105" s="36"/>
      <c r="P105" s="9"/>
      <c r="Q105" s="36"/>
      <c r="R105" s="9"/>
      <c r="S105" s="9"/>
      <c r="T105" s="39"/>
      <c r="U105" s="39"/>
      <c r="V105" s="36"/>
      <c r="W105" s="9"/>
      <c r="X105" s="9"/>
      <c r="Y105" s="9"/>
      <c r="Z105" s="9"/>
      <c r="AA105" s="9"/>
      <c r="AB105" s="9"/>
      <c r="AC105" s="9"/>
      <c r="AD105" s="37"/>
      <c r="AE105" s="38"/>
      <c r="AF105" s="39"/>
      <c r="AG105" s="39"/>
      <c r="AH105" s="9"/>
      <c r="AI105" s="9"/>
      <c r="AJ105" s="9"/>
      <c r="AK105" s="9"/>
      <c r="AL105" s="9"/>
      <c r="AM105" s="40"/>
      <c r="AN105" s="10" t="str">
        <f aca="false">IF(C105="","",C105&amp;"|"&amp;D105&amp;"|"&amp;E105&amp;"|"&amp;F105&amp;"|"&amp;Y105)</f>
        <v/>
      </c>
    </row>
    <row r="106" customFormat="false" ht="15" hidden="false" customHeight="false" outlineLevel="0" collapsed="false">
      <c r="A106" s="10" t="str">
        <f aca="false">IF(C106="","","RW-"&amp;IFERROR(VLOOKUP(C106,Lists!$M$4:$N$23,2,0),"??")&amp;"-H"&amp;TEXT(D106*1000,"0000")&amp;"-S"&amp;E106&amp;IF(F106="Y","-GW","")&amp;"-"&amp;X106)</f>
        <v/>
      </c>
      <c r="B106" s="10" t="str">
        <f aca="false">IF(C106="","",C106&amp;", H = "&amp;TEXT(D106,"0.0")&amp;" m, q = "&amp;E106&amp;" kPa"&amp;IF(F106="Y",", with GWT",""))</f>
        <v/>
      </c>
      <c r="C106" s="9"/>
      <c r="D106" s="39"/>
      <c r="E106" s="36"/>
      <c r="F106" s="9"/>
      <c r="G106" s="9"/>
      <c r="H106" s="36"/>
      <c r="I106" s="38"/>
      <c r="J106" s="36"/>
      <c r="K106" s="36"/>
      <c r="L106" s="36"/>
      <c r="M106" s="36"/>
      <c r="N106" s="36"/>
      <c r="O106" s="36"/>
      <c r="P106" s="9"/>
      <c r="Q106" s="36"/>
      <c r="R106" s="9"/>
      <c r="S106" s="9"/>
      <c r="T106" s="39"/>
      <c r="U106" s="39"/>
      <c r="V106" s="36"/>
      <c r="W106" s="9"/>
      <c r="X106" s="9"/>
      <c r="Y106" s="9"/>
      <c r="Z106" s="9"/>
      <c r="AA106" s="9"/>
      <c r="AB106" s="9"/>
      <c r="AC106" s="9"/>
      <c r="AD106" s="37"/>
      <c r="AE106" s="38"/>
      <c r="AF106" s="39"/>
      <c r="AG106" s="39"/>
      <c r="AH106" s="9"/>
      <c r="AI106" s="9"/>
      <c r="AJ106" s="9"/>
      <c r="AK106" s="9"/>
      <c r="AL106" s="9"/>
      <c r="AM106" s="40"/>
      <c r="AN106" s="10" t="str">
        <f aca="false">IF(C106="","",C106&amp;"|"&amp;D106&amp;"|"&amp;E106&amp;"|"&amp;F106&amp;"|"&amp;Y106)</f>
        <v/>
      </c>
    </row>
    <row r="107" customFormat="false" ht="15" hidden="false" customHeight="false" outlineLevel="0" collapsed="false">
      <c r="A107" s="10" t="str">
        <f aca="false">IF(C107="","","RW-"&amp;IFERROR(VLOOKUP(C107,Lists!$M$4:$N$23,2,0),"??")&amp;"-H"&amp;TEXT(D107*1000,"0000")&amp;"-S"&amp;E107&amp;IF(F107="Y","-GW","")&amp;"-"&amp;X107)</f>
        <v/>
      </c>
      <c r="B107" s="10" t="str">
        <f aca="false">IF(C107="","",C107&amp;", H = "&amp;TEXT(D107,"0.0")&amp;" m, q = "&amp;E107&amp;" kPa"&amp;IF(F107="Y",", with GWT",""))</f>
        <v/>
      </c>
      <c r="C107" s="9"/>
      <c r="D107" s="39"/>
      <c r="E107" s="36"/>
      <c r="F107" s="9"/>
      <c r="G107" s="9"/>
      <c r="H107" s="36"/>
      <c r="I107" s="38"/>
      <c r="J107" s="36"/>
      <c r="K107" s="36"/>
      <c r="L107" s="36"/>
      <c r="M107" s="36"/>
      <c r="N107" s="36"/>
      <c r="O107" s="36"/>
      <c r="P107" s="9"/>
      <c r="Q107" s="36"/>
      <c r="R107" s="9"/>
      <c r="S107" s="9"/>
      <c r="T107" s="39"/>
      <c r="U107" s="39"/>
      <c r="V107" s="36"/>
      <c r="W107" s="9"/>
      <c r="X107" s="9"/>
      <c r="Y107" s="9"/>
      <c r="Z107" s="9"/>
      <c r="AA107" s="9"/>
      <c r="AB107" s="9"/>
      <c r="AC107" s="9"/>
      <c r="AD107" s="37"/>
      <c r="AE107" s="38"/>
      <c r="AF107" s="39"/>
      <c r="AG107" s="39"/>
      <c r="AH107" s="9"/>
      <c r="AI107" s="9"/>
      <c r="AJ107" s="9"/>
      <c r="AK107" s="9"/>
      <c r="AL107" s="9"/>
      <c r="AM107" s="40"/>
      <c r="AN107" s="10" t="str">
        <f aca="false">IF(C107="","",C107&amp;"|"&amp;D107&amp;"|"&amp;E107&amp;"|"&amp;F107&amp;"|"&amp;Y107)</f>
        <v/>
      </c>
    </row>
    <row r="108" customFormat="false" ht="15" hidden="false" customHeight="false" outlineLevel="0" collapsed="false">
      <c r="A108" s="10" t="str">
        <f aca="false">IF(C108="","","RW-"&amp;IFERROR(VLOOKUP(C108,Lists!$M$4:$N$23,2,0),"??")&amp;"-H"&amp;TEXT(D108*1000,"0000")&amp;"-S"&amp;E108&amp;IF(F108="Y","-GW","")&amp;"-"&amp;X108)</f>
        <v/>
      </c>
      <c r="B108" s="10" t="str">
        <f aca="false">IF(C108="","",C108&amp;", H = "&amp;TEXT(D108,"0.0")&amp;" m, q = "&amp;E108&amp;" kPa"&amp;IF(F108="Y",", with GWT",""))</f>
        <v/>
      </c>
      <c r="C108" s="9"/>
      <c r="D108" s="39"/>
      <c r="E108" s="36"/>
      <c r="F108" s="9"/>
      <c r="G108" s="9"/>
      <c r="H108" s="36"/>
      <c r="I108" s="38"/>
      <c r="J108" s="36"/>
      <c r="K108" s="36"/>
      <c r="L108" s="36"/>
      <c r="M108" s="36"/>
      <c r="N108" s="36"/>
      <c r="O108" s="36"/>
      <c r="P108" s="9"/>
      <c r="Q108" s="36"/>
      <c r="R108" s="9"/>
      <c r="S108" s="9"/>
      <c r="T108" s="39"/>
      <c r="U108" s="39"/>
      <c r="V108" s="36"/>
      <c r="W108" s="9"/>
      <c r="X108" s="9"/>
      <c r="Y108" s="9"/>
      <c r="Z108" s="9"/>
      <c r="AA108" s="9"/>
      <c r="AB108" s="9"/>
      <c r="AC108" s="9"/>
      <c r="AD108" s="37"/>
      <c r="AE108" s="38"/>
      <c r="AF108" s="39"/>
      <c r="AG108" s="39"/>
      <c r="AH108" s="9"/>
      <c r="AI108" s="9"/>
      <c r="AJ108" s="9"/>
      <c r="AK108" s="9"/>
      <c r="AL108" s="9"/>
      <c r="AM108" s="40"/>
      <c r="AN108" s="10" t="str">
        <f aca="false">IF(C108="","",C108&amp;"|"&amp;D108&amp;"|"&amp;E108&amp;"|"&amp;F108&amp;"|"&amp;Y108)</f>
        <v/>
      </c>
    </row>
    <row r="109" customFormat="false" ht="15" hidden="false" customHeight="false" outlineLevel="0" collapsed="false">
      <c r="A109" s="10" t="str">
        <f aca="false">IF(C109="","","RW-"&amp;IFERROR(VLOOKUP(C109,Lists!$M$4:$N$23,2,0),"??")&amp;"-H"&amp;TEXT(D109*1000,"0000")&amp;"-S"&amp;E109&amp;IF(F109="Y","-GW","")&amp;"-"&amp;X109)</f>
        <v/>
      </c>
      <c r="B109" s="10" t="str">
        <f aca="false">IF(C109="","",C109&amp;", H = "&amp;TEXT(D109,"0.0")&amp;" m, q = "&amp;E109&amp;" kPa"&amp;IF(F109="Y",", with GWT",""))</f>
        <v/>
      </c>
      <c r="C109" s="9"/>
      <c r="D109" s="39"/>
      <c r="E109" s="36"/>
      <c r="F109" s="9"/>
      <c r="G109" s="9"/>
      <c r="H109" s="36"/>
      <c r="I109" s="38"/>
      <c r="J109" s="36"/>
      <c r="K109" s="36"/>
      <c r="L109" s="36"/>
      <c r="M109" s="36"/>
      <c r="N109" s="36"/>
      <c r="O109" s="36"/>
      <c r="P109" s="9"/>
      <c r="Q109" s="36"/>
      <c r="R109" s="9"/>
      <c r="S109" s="9"/>
      <c r="T109" s="39"/>
      <c r="U109" s="39"/>
      <c r="V109" s="36"/>
      <c r="W109" s="9"/>
      <c r="X109" s="9"/>
      <c r="Y109" s="9"/>
      <c r="Z109" s="9"/>
      <c r="AA109" s="9"/>
      <c r="AB109" s="9"/>
      <c r="AC109" s="9"/>
      <c r="AD109" s="37"/>
      <c r="AE109" s="38"/>
      <c r="AF109" s="39"/>
      <c r="AG109" s="39"/>
      <c r="AH109" s="9"/>
      <c r="AI109" s="9"/>
      <c r="AJ109" s="9"/>
      <c r="AK109" s="9"/>
      <c r="AL109" s="9"/>
      <c r="AM109" s="40"/>
      <c r="AN109" s="10" t="str">
        <f aca="false">IF(C109="","",C109&amp;"|"&amp;D109&amp;"|"&amp;E109&amp;"|"&amp;F109&amp;"|"&amp;Y109)</f>
        <v/>
      </c>
    </row>
    <row r="110" customFormat="false" ht="15" hidden="false" customHeight="false" outlineLevel="0" collapsed="false">
      <c r="A110" s="10" t="str">
        <f aca="false">IF(C110="","","RW-"&amp;IFERROR(VLOOKUP(C110,Lists!$M$4:$N$23,2,0),"??")&amp;"-H"&amp;TEXT(D110*1000,"0000")&amp;"-S"&amp;E110&amp;IF(F110="Y","-GW","")&amp;"-"&amp;X110)</f>
        <v/>
      </c>
      <c r="B110" s="10" t="str">
        <f aca="false">IF(C110="","",C110&amp;", H = "&amp;TEXT(D110,"0.0")&amp;" m, q = "&amp;E110&amp;" kPa"&amp;IF(F110="Y",", with GWT",""))</f>
        <v/>
      </c>
      <c r="C110" s="9"/>
      <c r="D110" s="39"/>
      <c r="E110" s="36"/>
      <c r="F110" s="9"/>
      <c r="G110" s="9"/>
      <c r="H110" s="36"/>
      <c r="I110" s="38"/>
      <c r="J110" s="36"/>
      <c r="K110" s="36"/>
      <c r="L110" s="36"/>
      <c r="M110" s="36"/>
      <c r="N110" s="36"/>
      <c r="O110" s="36"/>
      <c r="P110" s="9"/>
      <c r="Q110" s="36"/>
      <c r="R110" s="9"/>
      <c r="S110" s="9"/>
      <c r="T110" s="39"/>
      <c r="U110" s="39"/>
      <c r="V110" s="36"/>
      <c r="W110" s="9"/>
      <c r="X110" s="9"/>
      <c r="Y110" s="9"/>
      <c r="Z110" s="9"/>
      <c r="AA110" s="9"/>
      <c r="AB110" s="9"/>
      <c r="AC110" s="9"/>
      <c r="AD110" s="37"/>
      <c r="AE110" s="38"/>
      <c r="AF110" s="39"/>
      <c r="AG110" s="39"/>
      <c r="AH110" s="9"/>
      <c r="AI110" s="9"/>
      <c r="AJ110" s="9"/>
      <c r="AK110" s="9"/>
      <c r="AL110" s="9"/>
      <c r="AM110" s="40"/>
      <c r="AN110" s="10" t="str">
        <f aca="false">IF(C110="","",C110&amp;"|"&amp;D110&amp;"|"&amp;E110&amp;"|"&amp;F110&amp;"|"&amp;Y110)</f>
        <v/>
      </c>
    </row>
    <row r="111" customFormat="false" ht="15" hidden="false" customHeight="false" outlineLevel="0" collapsed="false">
      <c r="A111" s="10" t="str">
        <f aca="false">IF(C111="","","RW-"&amp;IFERROR(VLOOKUP(C111,Lists!$M$4:$N$23,2,0),"??")&amp;"-H"&amp;TEXT(D111*1000,"0000")&amp;"-S"&amp;E111&amp;IF(F111="Y","-GW","")&amp;"-"&amp;X111)</f>
        <v/>
      </c>
      <c r="B111" s="10" t="str">
        <f aca="false">IF(C111="","",C111&amp;", H = "&amp;TEXT(D111,"0.0")&amp;" m, q = "&amp;E111&amp;" kPa"&amp;IF(F111="Y",", with GWT",""))</f>
        <v/>
      </c>
      <c r="C111" s="9"/>
      <c r="D111" s="39"/>
      <c r="E111" s="36"/>
      <c r="F111" s="9"/>
      <c r="G111" s="9"/>
      <c r="H111" s="36"/>
      <c r="I111" s="38"/>
      <c r="J111" s="36"/>
      <c r="K111" s="36"/>
      <c r="L111" s="36"/>
      <c r="M111" s="36"/>
      <c r="N111" s="36"/>
      <c r="O111" s="36"/>
      <c r="P111" s="9"/>
      <c r="Q111" s="36"/>
      <c r="R111" s="9"/>
      <c r="S111" s="9"/>
      <c r="T111" s="39"/>
      <c r="U111" s="39"/>
      <c r="V111" s="36"/>
      <c r="W111" s="9"/>
      <c r="X111" s="9"/>
      <c r="Y111" s="9"/>
      <c r="Z111" s="9"/>
      <c r="AA111" s="9"/>
      <c r="AB111" s="9"/>
      <c r="AC111" s="9"/>
      <c r="AD111" s="37"/>
      <c r="AE111" s="38"/>
      <c r="AF111" s="39"/>
      <c r="AG111" s="39"/>
      <c r="AH111" s="9"/>
      <c r="AI111" s="9"/>
      <c r="AJ111" s="9"/>
      <c r="AK111" s="9"/>
      <c r="AL111" s="9"/>
      <c r="AM111" s="40"/>
      <c r="AN111" s="10" t="str">
        <f aca="false">IF(C111="","",C111&amp;"|"&amp;D111&amp;"|"&amp;E111&amp;"|"&amp;F111&amp;"|"&amp;Y111)</f>
        <v/>
      </c>
    </row>
    <row r="112" customFormat="false" ht="15" hidden="false" customHeight="false" outlineLevel="0" collapsed="false">
      <c r="A112" s="10" t="str">
        <f aca="false">IF(C112="","","RW-"&amp;IFERROR(VLOOKUP(C112,Lists!$M$4:$N$23,2,0),"??")&amp;"-H"&amp;TEXT(D112*1000,"0000")&amp;"-S"&amp;E112&amp;IF(F112="Y","-GW","")&amp;"-"&amp;X112)</f>
        <v/>
      </c>
      <c r="B112" s="10" t="str">
        <f aca="false">IF(C112="","",C112&amp;", H = "&amp;TEXT(D112,"0.0")&amp;" m, q = "&amp;E112&amp;" kPa"&amp;IF(F112="Y",", with GWT",""))</f>
        <v/>
      </c>
      <c r="C112" s="9"/>
      <c r="D112" s="39"/>
      <c r="E112" s="36"/>
      <c r="F112" s="9"/>
      <c r="G112" s="9"/>
      <c r="H112" s="36"/>
      <c r="I112" s="38"/>
      <c r="J112" s="36"/>
      <c r="K112" s="36"/>
      <c r="L112" s="36"/>
      <c r="M112" s="36"/>
      <c r="N112" s="36"/>
      <c r="O112" s="36"/>
      <c r="P112" s="9"/>
      <c r="Q112" s="36"/>
      <c r="R112" s="9"/>
      <c r="S112" s="9"/>
      <c r="T112" s="39"/>
      <c r="U112" s="39"/>
      <c r="V112" s="36"/>
      <c r="W112" s="9"/>
      <c r="X112" s="9"/>
      <c r="Y112" s="9"/>
      <c r="Z112" s="9"/>
      <c r="AA112" s="9"/>
      <c r="AB112" s="9"/>
      <c r="AC112" s="9"/>
      <c r="AD112" s="37"/>
      <c r="AE112" s="38"/>
      <c r="AF112" s="39"/>
      <c r="AG112" s="39"/>
      <c r="AH112" s="9"/>
      <c r="AI112" s="9"/>
      <c r="AJ112" s="9"/>
      <c r="AK112" s="9"/>
      <c r="AL112" s="9"/>
      <c r="AM112" s="40"/>
      <c r="AN112" s="10" t="str">
        <f aca="false">IF(C112="","",C112&amp;"|"&amp;D112&amp;"|"&amp;E112&amp;"|"&amp;F112&amp;"|"&amp;Y112)</f>
        <v/>
      </c>
    </row>
    <row r="113" customFormat="false" ht="15" hidden="false" customHeight="false" outlineLevel="0" collapsed="false">
      <c r="A113" s="10" t="str">
        <f aca="false">IF(C113="","","RW-"&amp;IFERROR(VLOOKUP(C113,Lists!$M$4:$N$23,2,0),"??")&amp;"-H"&amp;TEXT(D113*1000,"0000")&amp;"-S"&amp;E113&amp;IF(F113="Y","-GW","")&amp;"-"&amp;X113)</f>
        <v/>
      </c>
      <c r="B113" s="10" t="str">
        <f aca="false">IF(C113="","",C113&amp;", H = "&amp;TEXT(D113,"0.0")&amp;" m, q = "&amp;E113&amp;" kPa"&amp;IF(F113="Y",", with GWT",""))</f>
        <v/>
      </c>
      <c r="C113" s="9"/>
      <c r="D113" s="39"/>
      <c r="E113" s="36"/>
      <c r="F113" s="9"/>
      <c r="G113" s="9"/>
      <c r="H113" s="36"/>
      <c r="I113" s="38"/>
      <c r="J113" s="36"/>
      <c r="K113" s="36"/>
      <c r="L113" s="36"/>
      <c r="M113" s="36"/>
      <c r="N113" s="36"/>
      <c r="O113" s="36"/>
      <c r="P113" s="9"/>
      <c r="Q113" s="36"/>
      <c r="R113" s="9"/>
      <c r="S113" s="9"/>
      <c r="T113" s="39"/>
      <c r="U113" s="39"/>
      <c r="V113" s="36"/>
      <c r="W113" s="9"/>
      <c r="X113" s="9"/>
      <c r="Y113" s="9"/>
      <c r="Z113" s="9"/>
      <c r="AA113" s="9"/>
      <c r="AB113" s="9"/>
      <c r="AC113" s="9"/>
      <c r="AD113" s="37"/>
      <c r="AE113" s="38"/>
      <c r="AF113" s="39"/>
      <c r="AG113" s="39"/>
      <c r="AH113" s="9"/>
      <c r="AI113" s="9"/>
      <c r="AJ113" s="9"/>
      <c r="AK113" s="9"/>
      <c r="AL113" s="9"/>
      <c r="AM113" s="40"/>
      <c r="AN113" s="10" t="str">
        <f aca="false">IF(C113="","",C113&amp;"|"&amp;D113&amp;"|"&amp;E113&amp;"|"&amp;F113&amp;"|"&amp;Y113)</f>
        <v/>
      </c>
    </row>
    <row r="114" customFormat="false" ht="15" hidden="false" customHeight="false" outlineLevel="0" collapsed="false">
      <c r="A114" s="10" t="str">
        <f aca="false">IF(C114="","","RW-"&amp;IFERROR(VLOOKUP(C114,Lists!$M$4:$N$23,2,0),"??")&amp;"-H"&amp;TEXT(D114*1000,"0000")&amp;"-S"&amp;E114&amp;IF(F114="Y","-GW","")&amp;"-"&amp;X114)</f>
        <v/>
      </c>
      <c r="B114" s="10" t="str">
        <f aca="false">IF(C114="","",C114&amp;", H = "&amp;TEXT(D114,"0.0")&amp;" m, q = "&amp;E114&amp;" kPa"&amp;IF(F114="Y",", with GWT",""))</f>
        <v/>
      </c>
      <c r="C114" s="9"/>
      <c r="D114" s="39"/>
      <c r="E114" s="36"/>
      <c r="F114" s="9"/>
      <c r="G114" s="9"/>
      <c r="H114" s="36"/>
      <c r="I114" s="38"/>
      <c r="J114" s="36"/>
      <c r="K114" s="36"/>
      <c r="L114" s="36"/>
      <c r="M114" s="36"/>
      <c r="N114" s="36"/>
      <c r="O114" s="36"/>
      <c r="P114" s="9"/>
      <c r="Q114" s="36"/>
      <c r="R114" s="9"/>
      <c r="S114" s="9"/>
      <c r="T114" s="39"/>
      <c r="U114" s="39"/>
      <c r="V114" s="36"/>
      <c r="W114" s="9"/>
      <c r="X114" s="9"/>
      <c r="Y114" s="9"/>
      <c r="Z114" s="9"/>
      <c r="AA114" s="9"/>
      <c r="AB114" s="9"/>
      <c r="AC114" s="9"/>
      <c r="AD114" s="37"/>
      <c r="AE114" s="38"/>
      <c r="AF114" s="39"/>
      <c r="AG114" s="39"/>
      <c r="AH114" s="9"/>
      <c r="AI114" s="9"/>
      <c r="AJ114" s="9"/>
      <c r="AK114" s="9"/>
      <c r="AL114" s="9"/>
      <c r="AM114" s="40"/>
      <c r="AN114" s="10" t="str">
        <f aca="false">IF(C114="","",C114&amp;"|"&amp;D114&amp;"|"&amp;E114&amp;"|"&amp;F114&amp;"|"&amp;Y114)</f>
        <v/>
      </c>
    </row>
    <row r="115" customFormat="false" ht="15" hidden="false" customHeight="false" outlineLevel="0" collapsed="false">
      <c r="A115" s="10" t="str">
        <f aca="false">IF(C115="","","RW-"&amp;IFERROR(VLOOKUP(C115,Lists!$M$4:$N$23,2,0),"??")&amp;"-H"&amp;TEXT(D115*1000,"0000")&amp;"-S"&amp;E115&amp;IF(F115="Y","-GW","")&amp;"-"&amp;X115)</f>
        <v/>
      </c>
      <c r="B115" s="10" t="str">
        <f aca="false">IF(C115="","",C115&amp;", H = "&amp;TEXT(D115,"0.0")&amp;" m, q = "&amp;E115&amp;" kPa"&amp;IF(F115="Y",", with GWT",""))</f>
        <v/>
      </c>
      <c r="C115" s="9"/>
      <c r="D115" s="39"/>
      <c r="E115" s="36"/>
      <c r="F115" s="9"/>
      <c r="G115" s="9"/>
      <c r="H115" s="36"/>
      <c r="I115" s="38"/>
      <c r="J115" s="36"/>
      <c r="K115" s="36"/>
      <c r="L115" s="36"/>
      <c r="M115" s="36"/>
      <c r="N115" s="36"/>
      <c r="O115" s="36"/>
      <c r="P115" s="9"/>
      <c r="Q115" s="36"/>
      <c r="R115" s="9"/>
      <c r="S115" s="9"/>
      <c r="T115" s="39"/>
      <c r="U115" s="39"/>
      <c r="V115" s="36"/>
      <c r="W115" s="9"/>
      <c r="X115" s="9"/>
      <c r="Y115" s="9"/>
      <c r="Z115" s="9"/>
      <c r="AA115" s="9"/>
      <c r="AB115" s="9"/>
      <c r="AC115" s="9"/>
      <c r="AD115" s="37"/>
      <c r="AE115" s="38"/>
      <c r="AF115" s="39"/>
      <c r="AG115" s="39"/>
      <c r="AH115" s="9"/>
      <c r="AI115" s="9"/>
      <c r="AJ115" s="9"/>
      <c r="AK115" s="9"/>
      <c r="AL115" s="9"/>
      <c r="AM115" s="40"/>
      <c r="AN115" s="10" t="str">
        <f aca="false">IF(C115="","",C115&amp;"|"&amp;D115&amp;"|"&amp;E115&amp;"|"&amp;F115&amp;"|"&amp;Y115)</f>
        <v/>
      </c>
    </row>
    <row r="116" customFormat="false" ht="15" hidden="false" customHeight="false" outlineLevel="0" collapsed="false">
      <c r="A116" s="10" t="str">
        <f aca="false">IF(C116="","","RW-"&amp;IFERROR(VLOOKUP(C116,Lists!$M$4:$N$23,2,0),"??")&amp;"-H"&amp;TEXT(D116*1000,"0000")&amp;"-S"&amp;E116&amp;IF(F116="Y","-GW","")&amp;"-"&amp;X116)</f>
        <v/>
      </c>
      <c r="B116" s="10" t="str">
        <f aca="false">IF(C116="","",C116&amp;", H = "&amp;TEXT(D116,"0.0")&amp;" m, q = "&amp;E116&amp;" kPa"&amp;IF(F116="Y",", with GWT",""))</f>
        <v/>
      </c>
      <c r="C116" s="9"/>
      <c r="D116" s="39"/>
      <c r="E116" s="36"/>
      <c r="F116" s="9"/>
      <c r="G116" s="9"/>
      <c r="H116" s="36"/>
      <c r="I116" s="38"/>
      <c r="J116" s="36"/>
      <c r="K116" s="36"/>
      <c r="L116" s="36"/>
      <c r="M116" s="36"/>
      <c r="N116" s="36"/>
      <c r="O116" s="36"/>
      <c r="P116" s="9"/>
      <c r="Q116" s="36"/>
      <c r="R116" s="9"/>
      <c r="S116" s="9"/>
      <c r="T116" s="39"/>
      <c r="U116" s="39"/>
      <c r="V116" s="36"/>
      <c r="W116" s="9"/>
      <c r="X116" s="9"/>
      <c r="Y116" s="9"/>
      <c r="Z116" s="9"/>
      <c r="AA116" s="9"/>
      <c r="AB116" s="9"/>
      <c r="AC116" s="9"/>
      <c r="AD116" s="37"/>
      <c r="AE116" s="38"/>
      <c r="AF116" s="39"/>
      <c r="AG116" s="39"/>
      <c r="AH116" s="9"/>
      <c r="AI116" s="9"/>
      <c r="AJ116" s="9"/>
      <c r="AK116" s="9"/>
      <c r="AL116" s="9"/>
      <c r="AM116" s="40"/>
      <c r="AN116" s="10" t="str">
        <f aca="false">IF(C116="","",C116&amp;"|"&amp;D116&amp;"|"&amp;E116&amp;"|"&amp;F116&amp;"|"&amp;Y116)</f>
        <v/>
      </c>
    </row>
    <row r="117" customFormat="false" ht="15" hidden="false" customHeight="false" outlineLevel="0" collapsed="false">
      <c r="A117" s="10" t="str">
        <f aca="false">IF(C117="","","RW-"&amp;IFERROR(VLOOKUP(C117,Lists!$M$4:$N$23,2,0),"??")&amp;"-H"&amp;TEXT(D117*1000,"0000")&amp;"-S"&amp;E117&amp;IF(F117="Y","-GW","")&amp;"-"&amp;X117)</f>
        <v/>
      </c>
      <c r="B117" s="10" t="str">
        <f aca="false">IF(C117="","",C117&amp;", H = "&amp;TEXT(D117,"0.0")&amp;" m, q = "&amp;E117&amp;" kPa"&amp;IF(F117="Y",", with GWT",""))</f>
        <v/>
      </c>
      <c r="C117" s="9"/>
      <c r="D117" s="39"/>
      <c r="E117" s="36"/>
      <c r="F117" s="9"/>
      <c r="G117" s="9"/>
      <c r="H117" s="36"/>
      <c r="I117" s="38"/>
      <c r="J117" s="36"/>
      <c r="K117" s="36"/>
      <c r="L117" s="36"/>
      <c r="M117" s="36"/>
      <c r="N117" s="36"/>
      <c r="O117" s="36"/>
      <c r="P117" s="9"/>
      <c r="Q117" s="36"/>
      <c r="R117" s="9"/>
      <c r="S117" s="9"/>
      <c r="T117" s="39"/>
      <c r="U117" s="39"/>
      <c r="V117" s="36"/>
      <c r="W117" s="9"/>
      <c r="X117" s="9"/>
      <c r="Y117" s="9"/>
      <c r="Z117" s="9"/>
      <c r="AA117" s="9"/>
      <c r="AB117" s="9"/>
      <c r="AC117" s="9"/>
      <c r="AD117" s="37"/>
      <c r="AE117" s="38"/>
      <c r="AF117" s="39"/>
      <c r="AG117" s="39"/>
      <c r="AH117" s="9"/>
      <c r="AI117" s="9"/>
      <c r="AJ117" s="9"/>
      <c r="AK117" s="9"/>
      <c r="AL117" s="9"/>
      <c r="AM117" s="40"/>
      <c r="AN117" s="10" t="str">
        <f aca="false">IF(C117="","",C117&amp;"|"&amp;D117&amp;"|"&amp;E117&amp;"|"&amp;F117&amp;"|"&amp;Y117)</f>
        <v/>
      </c>
    </row>
    <row r="118" customFormat="false" ht="15" hidden="false" customHeight="false" outlineLevel="0" collapsed="false">
      <c r="A118" s="10" t="str">
        <f aca="false">IF(C118="","","RW-"&amp;IFERROR(VLOOKUP(C118,Lists!$M$4:$N$23,2,0),"??")&amp;"-H"&amp;TEXT(D118*1000,"0000")&amp;"-S"&amp;E118&amp;IF(F118="Y","-GW","")&amp;"-"&amp;X118)</f>
        <v/>
      </c>
      <c r="B118" s="10" t="str">
        <f aca="false">IF(C118="","",C118&amp;", H = "&amp;TEXT(D118,"0.0")&amp;" m, q = "&amp;E118&amp;" kPa"&amp;IF(F118="Y",", with GWT",""))</f>
        <v/>
      </c>
      <c r="C118" s="9"/>
      <c r="D118" s="39"/>
      <c r="E118" s="36"/>
      <c r="F118" s="9"/>
      <c r="G118" s="9"/>
      <c r="H118" s="36"/>
      <c r="I118" s="38"/>
      <c r="J118" s="36"/>
      <c r="K118" s="36"/>
      <c r="L118" s="36"/>
      <c r="M118" s="36"/>
      <c r="N118" s="36"/>
      <c r="O118" s="36"/>
      <c r="P118" s="9"/>
      <c r="Q118" s="36"/>
      <c r="R118" s="9"/>
      <c r="S118" s="9"/>
      <c r="T118" s="39"/>
      <c r="U118" s="39"/>
      <c r="V118" s="36"/>
      <c r="W118" s="9"/>
      <c r="X118" s="9"/>
      <c r="Y118" s="9"/>
      <c r="Z118" s="9"/>
      <c r="AA118" s="9"/>
      <c r="AB118" s="9"/>
      <c r="AC118" s="9"/>
      <c r="AD118" s="37"/>
      <c r="AE118" s="38"/>
      <c r="AF118" s="39"/>
      <c r="AG118" s="39"/>
      <c r="AH118" s="9"/>
      <c r="AI118" s="9"/>
      <c r="AJ118" s="9"/>
      <c r="AK118" s="9"/>
      <c r="AL118" s="9"/>
      <c r="AM118" s="40"/>
      <c r="AN118" s="10" t="str">
        <f aca="false">IF(C118="","",C118&amp;"|"&amp;D118&amp;"|"&amp;E118&amp;"|"&amp;F118&amp;"|"&amp;Y118)</f>
        <v/>
      </c>
    </row>
    <row r="119" customFormat="false" ht="15" hidden="false" customHeight="false" outlineLevel="0" collapsed="false">
      <c r="A119" s="10" t="str">
        <f aca="false">IF(C119="","","RW-"&amp;IFERROR(VLOOKUP(C119,Lists!$M$4:$N$23,2,0),"??")&amp;"-H"&amp;TEXT(D119*1000,"0000")&amp;"-S"&amp;E119&amp;IF(F119="Y","-GW","")&amp;"-"&amp;X119)</f>
        <v/>
      </c>
      <c r="B119" s="10" t="str">
        <f aca="false">IF(C119="","",C119&amp;", H = "&amp;TEXT(D119,"0.0")&amp;" m, q = "&amp;E119&amp;" kPa"&amp;IF(F119="Y",", with GWT",""))</f>
        <v/>
      </c>
      <c r="C119" s="9"/>
      <c r="D119" s="39"/>
      <c r="E119" s="36"/>
      <c r="F119" s="9"/>
      <c r="G119" s="9"/>
      <c r="H119" s="36"/>
      <c r="I119" s="38"/>
      <c r="J119" s="36"/>
      <c r="K119" s="36"/>
      <c r="L119" s="36"/>
      <c r="M119" s="36"/>
      <c r="N119" s="36"/>
      <c r="O119" s="36"/>
      <c r="P119" s="9"/>
      <c r="Q119" s="36"/>
      <c r="R119" s="9"/>
      <c r="S119" s="9"/>
      <c r="T119" s="39"/>
      <c r="U119" s="39"/>
      <c r="V119" s="36"/>
      <c r="W119" s="9"/>
      <c r="X119" s="9"/>
      <c r="Y119" s="9"/>
      <c r="Z119" s="9"/>
      <c r="AA119" s="9"/>
      <c r="AB119" s="9"/>
      <c r="AC119" s="9"/>
      <c r="AD119" s="37"/>
      <c r="AE119" s="38"/>
      <c r="AF119" s="39"/>
      <c r="AG119" s="39"/>
      <c r="AH119" s="9"/>
      <c r="AI119" s="9"/>
      <c r="AJ119" s="9"/>
      <c r="AK119" s="9"/>
      <c r="AL119" s="9"/>
      <c r="AM119" s="40"/>
      <c r="AN119" s="10" t="str">
        <f aca="false">IF(C119="","",C119&amp;"|"&amp;D119&amp;"|"&amp;E119&amp;"|"&amp;F119&amp;"|"&amp;Y119)</f>
        <v/>
      </c>
    </row>
    <row r="120" customFormat="false" ht="15" hidden="false" customHeight="false" outlineLevel="0" collapsed="false">
      <c r="A120" s="10" t="str">
        <f aca="false">IF(C120="","","RW-"&amp;IFERROR(VLOOKUP(C120,Lists!$M$4:$N$23,2,0),"??")&amp;"-H"&amp;TEXT(D120*1000,"0000")&amp;"-S"&amp;E120&amp;IF(F120="Y","-GW","")&amp;"-"&amp;X120)</f>
        <v/>
      </c>
      <c r="B120" s="10" t="str">
        <f aca="false">IF(C120="","",C120&amp;", H = "&amp;TEXT(D120,"0.0")&amp;" m, q = "&amp;E120&amp;" kPa"&amp;IF(F120="Y",", with GWT",""))</f>
        <v/>
      </c>
      <c r="C120" s="9"/>
      <c r="D120" s="39"/>
      <c r="E120" s="36"/>
      <c r="F120" s="9"/>
      <c r="G120" s="9"/>
      <c r="H120" s="36"/>
      <c r="I120" s="38"/>
      <c r="J120" s="36"/>
      <c r="K120" s="36"/>
      <c r="L120" s="36"/>
      <c r="M120" s="36"/>
      <c r="N120" s="36"/>
      <c r="O120" s="36"/>
      <c r="P120" s="9"/>
      <c r="Q120" s="36"/>
      <c r="R120" s="9"/>
      <c r="S120" s="9"/>
      <c r="T120" s="39"/>
      <c r="U120" s="39"/>
      <c r="V120" s="36"/>
      <c r="W120" s="9"/>
      <c r="X120" s="9"/>
      <c r="Y120" s="9"/>
      <c r="Z120" s="9"/>
      <c r="AA120" s="9"/>
      <c r="AB120" s="9"/>
      <c r="AC120" s="9"/>
      <c r="AD120" s="37"/>
      <c r="AE120" s="38"/>
      <c r="AF120" s="39"/>
      <c r="AG120" s="39"/>
      <c r="AH120" s="9"/>
      <c r="AI120" s="9"/>
      <c r="AJ120" s="9"/>
      <c r="AK120" s="9"/>
      <c r="AL120" s="9"/>
      <c r="AM120" s="40"/>
      <c r="AN120" s="10" t="str">
        <f aca="false">IF(C120="","",C120&amp;"|"&amp;D120&amp;"|"&amp;E120&amp;"|"&amp;F120&amp;"|"&amp;Y120)</f>
        <v/>
      </c>
    </row>
    <row r="121" customFormat="false" ht="15" hidden="false" customHeight="false" outlineLevel="0" collapsed="false">
      <c r="A121" s="10" t="str">
        <f aca="false">IF(C121="","","RW-"&amp;IFERROR(VLOOKUP(C121,Lists!$M$4:$N$23,2,0),"??")&amp;"-H"&amp;TEXT(D121*1000,"0000")&amp;"-S"&amp;E121&amp;IF(F121="Y","-GW","")&amp;"-"&amp;X121)</f>
        <v/>
      </c>
      <c r="B121" s="10" t="str">
        <f aca="false">IF(C121="","",C121&amp;", H = "&amp;TEXT(D121,"0.0")&amp;" m, q = "&amp;E121&amp;" kPa"&amp;IF(F121="Y",", with GWT",""))</f>
        <v/>
      </c>
      <c r="C121" s="9"/>
      <c r="D121" s="39"/>
      <c r="E121" s="36"/>
      <c r="F121" s="9"/>
      <c r="G121" s="9"/>
      <c r="H121" s="36"/>
      <c r="I121" s="38"/>
      <c r="J121" s="36"/>
      <c r="K121" s="36"/>
      <c r="L121" s="36"/>
      <c r="M121" s="36"/>
      <c r="N121" s="36"/>
      <c r="O121" s="36"/>
      <c r="P121" s="9"/>
      <c r="Q121" s="36"/>
      <c r="R121" s="9"/>
      <c r="S121" s="9"/>
      <c r="T121" s="39"/>
      <c r="U121" s="39"/>
      <c r="V121" s="36"/>
      <c r="W121" s="9"/>
      <c r="X121" s="9"/>
      <c r="Y121" s="9"/>
      <c r="Z121" s="9"/>
      <c r="AA121" s="9"/>
      <c r="AB121" s="9"/>
      <c r="AC121" s="9"/>
      <c r="AD121" s="37"/>
      <c r="AE121" s="38"/>
      <c r="AF121" s="39"/>
      <c r="AG121" s="39"/>
      <c r="AH121" s="9"/>
      <c r="AI121" s="9"/>
      <c r="AJ121" s="9"/>
      <c r="AK121" s="9"/>
      <c r="AL121" s="9"/>
      <c r="AM121" s="40"/>
      <c r="AN121" s="10" t="str">
        <f aca="false">IF(C121="","",C121&amp;"|"&amp;D121&amp;"|"&amp;E121&amp;"|"&amp;F121&amp;"|"&amp;Y121)</f>
        <v/>
      </c>
    </row>
    <row r="122" customFormat="false" ht="15" hidden="false" customHeight="false" outlineLevel="0" collapsed="false">
      <c r="A122" s="10" t="str">
        <f aca="false">IF(C122="","","RW-"&amp;IFERROR(VLOOKUP(C122,Lists!$M$4:$N$23,2,0),"??")&amp;"-H"&amp;TEXT(D122*1000,"0000")&amp;"-S"&amp;E122&amp;IF(F122="Y","-GW","")&amp;"-"&amp;X122)</f>
        <v/>
      </c>
      <c r="B122" s="10" t="str">
        <f aca="false">IF(C122="","",C122&amp;", H = "&amp;TEXT(D122,"0.0")&amp;" m, q = "&amp;E122&amp;" kPa"&amp;IF(F122="Y",", with GWT",""))</f>
        <v/>
      </c>
      <c r="C122" s="9"/>
      <c r="D122" s="39"/>
      <c r="E122" s="36"/>
      <c r="F122" s="9"/>
      <c r="G122" s="9"/>
      <c r="H122" s="36"/>
      <c r="I122" s="38"/>
      <c r="J122" s="36"/>
      <c r="K122" s="36"/>
      <c r="L122" s="36"/>
      <c r="M122" s="36"/>
      <c r="N122" s="36"/>
      <c r="O122" s="36"/>
      <c r="P122" s="9"/>
      <c r="Q122" s="36"/>
      <c r="R122" s="9"/>
      <c r="S122" s="9"/>
      <c r="T122" s="39"/>
      <c r="U122" s="39"/>
      <c r="V122" s="36"/>
      <c r="W122" s="9"/>
      <c r="X122" s="9"/>
      <c r="Y122" s="9"/>
      <c r="Z122" s="9"/>
      <c r="AA122" s="9"/>
      <c r="AB122" s="9"/>
      <c r="AC122" s="9"/>
      <c r="AD122" s="37"/>
      <c r="AE122" s="38"/>
      <c r="AF122" s="39"/>
      <c r="AG122" s="39"/>
      <c r="AH122" s="9"/>
      <c r="AI122" s="9"/>
      <c r="AJ122" s="9"/>
      <c r="AK122" s="9"/>
      <c r="AL122" s="9"/>
      <c r="AM122" s="40"/>
      <c r="AN122" s="10" t="str">
        <f aca="false">IF(C122="","",C122&amp;"|"&amp;D122&amp;"|"&amp;E122&amp;"|"&amp;F122&amp;"|"&amp;Y122)</f>
        <v/>
      </c>
    </row>
    <row r="123" customFormat="false" ht="15" hidden="false" customHeight="false" outlineLevel="0" collapsed="false">
      <c r="A123" s="10" t="str">
        <f aca="false">IF(C123="","","RW-"&amp;IFERROR(VLOOKUP(C123,Lists!$M$4:$N$23,2,0),"??")&amp;"-H"&amp;TEXT(D123*1000,"0000")&amp;"-S"&amp;E123&amp;IF(F123="Y","-GW","")&amp;"-"&amp;X123)</f>
        <v/>
      </c>
      <c r="B123" s="10" t="str">
        <f aca="false">IF(C123="","",C123&amp;", H = "&amp;TEXT(D123,"0.0")&amp;" m, q = "&amp;E123&amp;" kPa"&amp;IF(F123="Y",", with GWT",""))</f>
        <v/>
      </c>
      <c r="C123" s="9"/>
      <c r="D123" s="39"/>
      <c r="E123" s="36"/>
      <c r="F123" s="9"/>
      <c r="G123" s="9"/>
      <c r="H123" s="36"/>
      <c r="I123" s="38"/>
      <c r="J123" s="36"/>
      <c r="K123" s="36"/>
      <c r="L123" s="36"/>
      <c r="M123" s="36"/>
      <c r="N123" s="36"/>
      <c r="O123" s="36"/>
      <c r="P123" s="9"/>
      <c r="Q123" s="36"/>
      <c r="R123" s="9"/>
      <c r="S123" s="9"/>
      <c r="T123" s="39"/>
      <c r="U123" s="39"/>
      <c r="V123" s="36"/>
      <c r="W123" s="9"/>
      <c r="X123" s="9"/>
      <c r="Y123" s="9"/>
      <c r="Z123" s="9"/>
      <c r="AA123" s="9"/>
      <c r="AB123" s="9"/>
      <c r="AC123" s="9"/>
      <c r="AD123" s="37"/>
      <c r="AE123" s="38"/>
      <c r="AF123" s="39"/>
      <c r="AG123" s="39"/>
      <c r="AH123" s="9"/>
      <c r="AI123" s="9"/>
      <c r="AJ123" s="9"/>
      <c r="AK123" s="9"/>
      <c r="AL123" s="9"/>
      <c r="AM123" s="40"/>
      <c r="AN123" s="10" t="str">
        <f aca="false">IF(C123="","",C123&amp;"|"&amp;D123&amp;"|"&amp;E123&amp;"|"&amp;F123&amp;"|"&amp;Y123)</f>
        <v/>
      </c>
    </row>
    <row r="124" customFormat="false" ht="15" hidden="false" customHeight="false" outlineLevel="0" collapsed="false">
      <c r="A124" s="10" t="str">
        <f aca="false">IF(C124="","","RW-"&amp;IFERROR(VLOOKUP(C124,Lists!$M$4:$N$23,2,0),"??")&amp;"-H"&amp;TEXT(D124*1000,"0000")&amp;"-S"&amp;E124&amp;IF(F124="Y","-GW","")&amp;"-"&amp;X124)</f>
        <v/>
      </c>
      <c r="B124" s="10" t="str">
        <f aca="false">IF(C124="","",C124&amp;", H = "&amp;TEXT(D124,"0.0")&amp;" m, q = "&amp;E124&amp;" kPa"&amp;IF(F124="Y",", with GWT",""))</f>
        <v/>
      </c>
      <c r="C124" s="9"/>
      <c r="D124" s="39"/>
      <c r="E124" s="36"/>
      <c r="F124" s="9"/>
      <c r="G124" s="9"/>
      <c r="H124" s="36"/>
      <c r="I124" s="38"/>
      <c r="J124" s="36"/>
      <c r="K124" s="36"/>
      <c r="L124" s="36"/>
      <c r="M124" s="36"/>
      <c r="N124" s="36"/>
      <c r="O124" s="36"/>
      <c r="P124" s="9"/>
      <c r="Q124" s="36"/>
      <c r="R124" s="9"/>
      <c r="S124" s="9"/>
      <c r="T124" s="39"/>
      <c r="U124" s="39"/>
      <c r="V124" s="36"/>
      <c r="W124" s="9"/>
      <c r="X124" s="9"/>
      <c r="Y124" s="9"/>
      <c r="Z124" s="9"/>
      <c r="AA124" s="9"/>
      <c r="AB124" s="9"/>
      <c r="AC124" s="9"/>
      <c r="AD124" s="37"/>
      <c r="AE124" s="38"/>
      <c r="AF124" s="39"/>
      <c r="AG124" s="39"/>
      <c r="AH124" s="9"/>
      <c r="AI124" s="9"/>
      <c r="AJ124" s="9"/>
      <c r="AK124" s="9"/>
      <c r="AL124" s="9"/>
      <c r="AM124" s="40"/>
      <c r="AN124" s="10" t="str">
        <f aca="false">IF(C124="","",C124&amp;"|"&amp;D124&amp;"|"&amp;E124&amp;"|"&amp;F124&amp;"|"&amp;Y124)</f>
        <v/>
      </c>
    </row>
    <row r="125" customFormat="false" ht="15" hidden="false" customHeight="false" outlineLevel="0" collapsed="false">
      <c r="A125" s="10" t="str">
        <f aca="false">IF(C125="","","RW-"&amp;IFERROR(VLOOKUP(C125,Lists!$M$4:$N$23,2,0),"??")&amp;"-H"&amp;TEXT(D125*1000,"0000")&amp;"-S"&amp;E125&amp;IF(F125="Y","-GW","")&amp;"-"&amp;X125)</f>
        <v/>
      </c>
      <c r="B125" s="10" t="str">
        <f aca="false">IF(C125="","",C125&amp;", H = "&amp;TEXT(D125,"0.0")&amp;" m, q = "&amp;E125&amp;" kPa"&amp;IF(F125="Y",", with GWT",""))</f>
        <v/>
      </c>
      <c r="C125" s="9"/>
      <c r="D125" s="39"/>
      <c r="E125" s="36"/>
      <c r="F125" s="9"/>
      <c r="G125" s="9"/>
      <c r="H125" s="36"/>
      <c r="I125" s="38"/>
      <c r="J125" s="36"/>
      <c r="K125" s="36"/>
      <c r="L125" s="36"/>
      <c r="M125" s="36"/>
      <c r="N125" s="36"/>
      <c r="O125" s="36"/>
      <c r="P125" s="9"/>
      <c r="Q125" s="36"/>
      <c r="R125" s="9"/>
      <c r="S125" s="9"/>
      <c r="T125" s="39"/>
      <c r="U125" s="39"/>
      <c r="V125" s="36"/>
      <c r="W125" s="9"/>
      <c r="X125" s="9"/>
      <c r="Y125" s="9"/>
      <c r="Z125" s="9"/>
      <c r="AA125" s="9"/>
      <c r="AB125" s="9"/>
      <c r="AC125" s="9"/>
      <c r="AD125" s="37"/>
      <c r="AE125" s="38"/>
      <c r="AF125" s="39"/>
      <c r="AG125" s="39"/>
      <c r="AH125" s="9"/>
      <c r="AI125" s="9"/>
      <c r="AJ125" s="9"/>
      <c r="AK125" s="9"/>
      <c r="AL125" s="9"/>
      <c r="AM125" s="40"/>
      <c r="AN125" s="10" t="str">
        <f aca="false">IF(C125="","",C125&amp;"|"&amp;D125&amp;"|"&amp;E125&amp;"|"&amp;F125&amp;"|"&amp;Y125)</f>
        <v/>
      </c>
    </row>
    <row r="126" customFormat="false" ht="15" hidden="false" customHeight="false" outlineLevel="0" collapsed="false">
      <c r="A126" s="10" t="str">
        <f aca="false">IF(C126="","","RW-"&amp;IFERROR(VLOOKUP(C126,Lists!$M$4:$N$23,2,0),"??")&amp;"-H"&amp;TEXT(D126*1000,"0000")&amp;"-S"&amp;E126&amp;IF(F126="Y","-GW","")&amp;"-"&amp;X126)</f>
        <v/>
      </c>
      <c r="B126" s="10" t="str">
        <f aca="false">IF(C126="","",C126&amp;", H = "&amp;TEXT(D126,"0.0")&amp;" m, q = "&amp;E126&amp;" kPa"&amp;IF(F126="Y",", with GWT",""))</f>
        <v/>
      </c>
      <c r="C126" s="9"/>
      <c r="D126" s="39"/>
      <c r="E126" s="36"/>
      <c r="F126" s="9"/>
      <c r="G126" s="9"/>
      <c r="H126" s="36"/>
      <c r="I126" s="38"/>
      <c r="J126" s="36"/>
      <c r="K126" s="36"/>
      <c r="L126" s="36"/>
      <c r="M126" s="36"/>
      <c r="N126" s="36"/>
      <c r="O126" s="36"/>
      <c r="P126" s="9"/>
      <c r="Q126" s="36"/>
      <c r="R126" s="9"/>
      <c r="S126" s="9"/>
      <c r="T126" s="39"/>
      <c r="U126" s="39"/>
      <c r="V126" s="36"/>
      <c r="W126" s="9"/>
      <c r="X126" s="9"/>
      <c r="Y126" s="9"/>
      <c r="Z126" s="9"/>
      <c r="AA126" s="9"/>
      <c r="AB126" s="9"/>
      <c r="AC126" s="9"/>
      <c r="AD126" s="37"/>
      <c r="AE126" s="38"/>
      <c r="AF126" s="39"/>
      <c r="AG126" s="39"/>
      <c r="AH126" s="9"/>
      <c r="AI126" s="9"/>
      <c r="AJ126" s="9"/>
      <c r="AK126" s="9"/>
      <c r="AL126" s="9"/>
      <c r="AM126" s="40"/>
      <c r="AN126" s="10" t="str">
        <f aca="false">IF(C126="","",C126&amp;"|"&amp;D126&amp;"|"&amp;E126&amp;"|"&amp;F126&amp;"|"&amp;Y126)</f>
        <v/>
      </c>
    </row>
    <row r="127" customFormat="false" ht="15" hidden="false" customHeight="false" outlineLevel="0" collapsed="false">
      <c r="A127" s="10" t="str">
        <f aca="false">IF(C127="","","RW-"&amp;IFERROR(VLOOKUP(C127,Lists!$M$4:$N$23,2,0),"??")&amp;"-H"&amp;TEXT(D127*1000,"0000")&amp;"-S"&amp;E127&amp;IF(F127="Y","-GW","")&amp;"-"&amp;X127)</f>
        <v/>
      </c>
      <c r="B127" s="10" t="str">
        <f aca="false">IF(C127="","",C127&amp;", H = "&amp;TEXT(D127,"0.0")&amp;" m, q = "&amp;E127&amp;" kPa"&amp;IF(F127="Y",", with GWT",""))</f>
        <v/>
      </c>
      <c r="C127" s="9"/>
      <c r="D127" s="39"/>
      <c r="E127" s="36"/>
      <c r="F127" s="9"/>
      <c r="G127" s="9"/>
      <c r="H127" s="36"/>
      <c r="I127" s="38"/>
      <c r="J127" s="36"/>
      <c r="K127" s="36"/>
      <c r="L127" s="36"/>
      <c r="M127" s="36"/>
      <c r="N127" s="36"/>
      <c r="O127" s="36"/>
      <c r="P127" s="9"/>
      <c r="Q127" s="36"/>
      <c r="R127" s="9"/>
      <c r="S127" s="9"/>
      <c r="T127" s="39"/>
      <c r="U127" s="39"/>
      <c r="V127" s="36"/>
      <c r="W127" s="9"/>
      <c r="X127" s="9"/>
      <c r="Y127" s="9"/>
      <c r="Z127" s="9"/>
      <c r="AA127" s="9"/>
      <c r="AB127" s="9"/>
      <c r="AC127" s="9"/>
      <c r="AD127" s="37"/>
      <c r="AE127" s="38"/>
      <c r="AF127" s="39"/>
      <c r="AG127" s="39"/>
      <c r="AH127" s="9"/>
      <c r="AI127" s="9"/>
      <c r="AJ127" s="9"/>
      <c r="AK127" s="9"/>
      <c r="AL127" s="9"/>
      <c r="AM127" s="40"/>
      <c r="AN127" s="10" t="str">
        <f aca="false">IF(C127="","",C127&amp;"|"&amp;D127&amp;"|"&amp;E127&amp;"|"&amp;F127&amp;"|"&amp;Y127)</f>
        <v/>
      </c>
    </row>
    <row r="128" customFormat="false" ht="15" hidden="false" customHeight="false" outlineLevel="0" collapsed="false">
      <c r="A128" s="10" t="str">
        <f aca="false">IF(C128="","","RW-"&amp;IFERROR(VLOOKUP(C128,Lists!$M$4:$N$23,2,0),"??")&amp;"-H"&amp;TEXT(D128*1000,"0000")&amp;"-S"&amp;E128&amp;IF(F128="Y","-GW","")&amp;"-"&amp;X128)</f>
        <v/>
      </c>
      <c r="B128" s="10" t="str">
        <f aca="false">IF(C128="","",C128&amp;", H = "&amp;TEXT(D128,"0.0")&amp;" m, q = "&amp;E128&amp;" kPa"&amp;IF(F128="Y",", with GWT",""))</f>
        <v/>
      </c>
      <c r="C128" s="9"/>
      <c r="D128" s="39"/>
      <c r="E128" s="36"/>
      <c r="F128" s="9"/>
      <c r="G128" s="9"/>
      <c r="H128" s="36"/>
      <c r="I128" s="38"/>
      <c r="J128" s="36"/>
      <c r="K128" s="36"/>
      <c r="L128" s="36"/>
      <c r="M128" s="36"/>
      <c r="N128" s="36"/>
      <c r="O128" s="36"/>
      <c r="P128" s="9"/>
      <c r="Q128" s="36"/>
      <c r="R128" s="9"/>
      <c r="S128" s="9"/>
      <c r="T128" s="39"/>
      <c r="U128" s="39"/>
      <c r="V128" s="36"/>
      <c r="W128" s="9"/>
      <c r="X128" s="9"/>
      <c r="Y128" s="9"/>
      <c r="Z128" s="9"/>
      <c r="AA128" s="9"/>
      <c r="AB128" s="9"/>
      <c r="AC128" s="9"/>
      <c r="AD128" s="37"/>
      <c r="AE128" s="38"/>
      <c r="AF128" s="39"/>
      <c r="AG128" s="39"/>
      <c r="AH128" s="9"/>
      <c r="AI128" s="9"/>
      <c r="AJ128" s="9"/>
      <c r="AK128" s="9"/>
      <c r="AL128" s="9"/>
      <c r="AM128" s="40"/>
      <c r="AN128" s="10" t="str">
        <f aca="false">IF(C128="","",C128&amp;"|"&amp;D128&amp;"|"&amp;E128&amp;"|"&amp;F128&amp;"|"&amp;Y128)</f>
        <v/>
      </c>
    </row>
    <row r="129" customFormat="false" ht="15" hidden="false" customHeight="false" outlineLevel="0" collapsed="false">
      <c r="A129" s="10" t="str">
        <f aca="false">IF(C129="","","RW-"&amp;IFERROR(VLOOKUP(C129,Lists!$M$4:$N$23,2,0),"??")&amp;"-H"&amp;TEXT(D129*1000,"0000")&amp;"-S"&amp;E129&amp;IF(F129="Y","-GW","")&amp;"-"&amp;X129)</f>
        <v/>
      </c>
      <c r="B129" s="10" t="str">
        <f aca="false">IF(C129="","",C129&amp;", H = "&amp;TEXT(D129,"0.0")&amp;" m, q = "&amp;E129&amp;" kPa"&amp;IF(F129="Y",", with GWT",""))</f>
        <v/>
      </c>
      <c r="C129" s="9"/>
      <c r="D129" s="39"/>
      <c r="E129" s="36"/>
      <c r="F129" s="9"/>
      <c r="G129" s="9"/>
      <c r="H129" s="36"/>
      <c r="I129" s="38"/>
      <c r="J129" s="36"/>
      <c r="K129" s="36"/>
      <c r="L129" s="36"/>
      <c r="M129" s="36"/>
      <c r="N129" s="36"/>
      <c r="O129" s="36"/>
      <c r="P129" s="9"/>
      <c r="Q129" s="36"/>
      <c r="R129" s="9"/>
      <c r="S129" s="9"/>
      <c r="T129" s="39"/>
      <c r="U129" s="39"/>
      <c r="V129" s="36"/>
      <c r="W129" s="9"/>
      <c r="X129" s="9"/>
      <c r="Y129" s="9"/>
      <c r="Z129" s="9"/>
      <c r="AA129" s="9"/>
      <c r="AB129" s="9"/>
      <c r="AC129" s="9"/>
      <c r="AD129" s="37"/>
      <c r="AE129" s="38"/>
      <c r="AF129" s="39"/>
      <c r="AG129" s="39"/>
      <c r="AH129" s="9"/>
      <c r="AI129" s="9"/>
      <c r="AJ129" s="9"/>
      <c r="AK129" s="9"/>
      <c r="AL129" s="9"/>
      <c r="AM129" s="40"/>
      <c r="AN129" s="10" t="str">
        <f aca="false">IF(C129="","",C129&amp;"|"&amp;D129&amp;"|"&amp;E129&amp;"|"&amp;F129&amp;"|"&amp;Y129)</f>
        <v/>
      </c>
    </row>
    <row r="130" customFormat="false" ht="15" hidden="false" customHeight="false" outlineLevel="0" collapsed="false">
      <c r="A130" s="10" t="str">
        <f aca="false">IF(C130="","","RW-"&amp;IFERROR(VLOOKUP(C130,Lists!$M$4:$N$23,2,0),"??")&amp;"-H"&amp;TEXT(D130*1000,"0000")&amp;"-S"&amp;E130&amp;IF(F130="Y","-GW","")&amp;"-"&amp;X130)</f>
        <v/>
      </c>
      <c r="B130" s="10" t="str">
        <f aca="false">IF(C130="","",C130&amp;", H = "&amp;TEXT(D130,"0.0")&amp;" m, q = "&amp;E130&amp;" kPa"&amp;IF(F130="Y",", with GWT",""))</f>
        <v/>
      </c>
      <c r="C130" s="9"/>
      <c r="D130" s="39"/>
      <c r="E130" s="36"/>
      <c r="F130" s="9"/>
      <c r="G130" s="9"/>
      <c r="H130" s="36"/>
      <c r="I130" s="38"/>
      <c r="J130" s="36"/>
      <c r="K130" s="36"/>
      <c r="L130" s="36"/>
      <c r="M130" s="36"/>
      <c r="N130" s="36"/>
      <c r="O130" s="36"/>
      <c r="P130" s="9"/>
      <c r="Q130" s="36"/>
      <c r="R130" s="9"/>
      <c r="S130" s="9"/>
      <c r="T130" s="39"/>
      <c r="U130" s="39"/>
      <c r="V130" s="36"/>
      <c r="W130" s="9"/>
      <c r="X130" s="9"/>
      <c r="Y130" s="9"/>
      <c r="Z130" s="9"/>
      <c r="AA130" s="9"/>
      <c r="AB130" s="9"/>
      <c r="AC130" s="9"/>
      <c r="AD130" s="37"/>
      <c r="AE130" s="38"/>
      <c r="AF130" s="39"/>
      <c r="AG130" s="39"/>
      <c r="AH130" s="9"/>
      <c r="AI130" s="9"/>
      <c r="AJ130" s="9"/>
      <c r="AK130" s="9"/>
      <c r="AL130" s="9"/>
      <c r="AM130" s="40"/>
      <c r="AN130" s="10" t="str">
        <f aca="false">IF(C130="","",C130&amp;"|"&amp;D130&amp;"|"&amp;E130&amp;"|"&amp;F130&amp;"|"&amp;Y130)</f>
        <v/>
      </c>
    </row>
    <row r="131" customFormat="false" ht="15" hidden="false" customHeight="false" outlineLevel="0" collapsed="false">
      <c r="A131" s="10" t="str">
        <f aca="false">IF(C131="","","RW-"&amp;IFERROR(VLOOKUP(C131,Lists!$M$4:$N$23,2,0),"??")&amp;"-H"&amp;TEXT(D131*1000,"0000")&amp;"-S"&amp;E131&amp;IF(F131="Y","-GW","")&amp;"-"&amp;X131)</f>
        <v/>
      </c>
      <c r="B131" s="10" t="str">
        <f aca="false">IF(C131="","",C131&amp;", H = "&amp;TEXT(D131,"0.0")&amp;" m, q = "&amp;E131&amp;" kPa"&amp;IF(F131="Y",", with GWT",""))</f>
        <v/>
      </c>
      <c r="C131" s="9"/>
      <c r="D131" s="39"/>
      <c r="E131" s="36"/>
      <c r="F131" s="9"/>
      <c r="G131" s="9"/>
      <c r="H131" s="36"/>
      <c r="I131" s="38"/>
      <c r="J131" s="36"/>
      <c r="K131" s="36"/>
      <c r="L131" s="36"/>
      <c r="M131" s="36"/>
      <c r="N131" s="36"/>
      <c r="O131" s="36"/>
      <c r="P131" s="9"/>
      <c r="Q131" s="36"/>
      <c r="R131" s="9"/>
      <c r="S131" s="9"/>
      <c r="T131" s="39"/>
      <c r="U131" s="39"/>
      <c r="V131" s="36"/>
      <c r="W131" s="9"/>
      <c r="X131" s="9"/>
      <c r="Y131" s="9"/>
      <c r="Z131" s="9"/>
      <c r="AA131" s="9"/>
      <c r="AB131" s="9"/>
      <c r="AC131" s="9"/>
      <c r="AD131" s="37"/>
      <c r="AE131" s="38"/>
      <c r="AF131" s="39"/>
      <c r="AG131" s="39"/>
      <c r="AH131" s="9"/>
      <c r="AI131" s="9"/>
      <c r="AJ131" s="9"/>
      <c r="AK131" s="9"/>
      <c r="AL131" s="9"/>
      <c r="AM131" s="40"/>
      <c r="AN131" s="10" t="str">
        <f aca="false">IF(C131="","",C131&amp;"|"&amp;D131&amp;"|"&amp;E131&amp;"|"&amp;F131&amp;"|"&amp;Y131)</f>
        <v/>
      </c>
    </row>
    <row r="132" customFormat="false" ht="15" hidden="false" customHeight="false" outlineLevel="0" collapsed="false">
      <c r="A132" s="10" t="str">
        <f aca="false">IF(C132="","","RW-"&amp;IFERROR(VLOOKUP(C132,Lists!$M$4:$N$23,2,0),"??")&amp;"-H"&amp;TEXT(D132*1000,"0000")&amp;"-S"&amp;E132&amp;IF(F132="Y","-GW","")&amp;"-"&amp;X132)</f>
        <v/>
      </c>
      <c r="B132" s="10" t="str">
        <f aca="false">IF(C132="","",C132&amp;", H = "&amp;TEXT(D132,"0.0")&amp;" m, q = "&amp;E132&amp;" kPa"&amp;IF(F132="Y",", with GWT",""))</f>
        <v/>
      </c>
      <c r="C132" s="9"/>
      <c r="D132" s="39"/>
      <c r="E132" s="36"/>
      <c r="F132" s="9"/>
      <c r="G132" s="9"/>
      <c r="H132" s="36"/>
      <c r="I132" s="38"/>
      <c r="J132" s="36"/>
      <c r="K132" s="36"/>
      <c r="L132" s="36"/>
      <c r="M132" s="36"/>
      <c r="N132" s="36"/>
      <c r="O132" s="36"/>
      <c r="P132" s="9"/>
      <c r="Q132" s="36"/>
      <c r="R132" s="9"/>
      <c r="S132" s="9"/>
      <c r="T132" s="39"/>
      <c r="U132" s="39"/>
      <c r="V132" s="36"/>
      <c r="W132" s="9"/>
      <c r="X132" s="9"/>
      <c r="Y132" s="9"/>
      <c r="Z132" s="9"/>
      <c r="AA132" s="9"/>
      <c r="AB132" s="9"/>
      <c r="AC132" s="9"/>
      <c r="AD132" s="37"/>
      <c r="AE132" s="38"/>
      <c r="AF132" s="39"/>
      <c r="AG132" s="39"/>
      <c r="AH132" s="9"/>
      <c r="AI132" s="9"/>
      <c r="AJ132" s="9"/>
      <c r="AK132" s="9"/>
      <c r="AL132" s="9"/>
      <c r="AM132" s="40"/>
      <c r="AN132" s="10" t="str">
        <f aca="false">IF(C132="","",C132&amp;"|"&amp;D132&amp;"|"&amp;E132&amp;"|"&amp;F132&amp;"|"&amp;Y132)</f>
        <v/>
      </c>
    </row>
    <row r="133" customFormat="false" ht="15" hidden="false" customHeight="false" outlineLevel="0" collapsed="false">
      <c r="A133" s="10" t="str">
        <f aca="false">IF(C133="","","RW-"&amp;IFERROR(VLOOKUP(C133,Lists!$M$4:$N$23,2,0),"??")&amp;"-H"&amp;TEXT(D133*1000,"0000")&amp;"-S"&amp;E133&amp;IF(F133="Y","-GW","")&amp;"-"&amp;X133)</f>
        <v/>
      </c>
      <c r="B133" s="10" t="str">
        <f aca="false">IF(C133="","",C133&amp;", H = "&amp;TEXT(D133,"0.0")&amp;" m, q = "&amp;E133&amp;" kPa"&amp;IF(F133="Y",", with GWT",""))</f>
        <v/>
      </c>
      <c r="C133" s="9"/>
      <c r="D133" s="39"/>
      <c r="E133" s="36"/>
      <c r="F133" s="9"/>
      <c r="G133" s="9"/>
      <c r="H133" s="36"/>
      <c r="I133" s="38"/>
      <c r="J133" s="36"/>
      <c r="K133" s="36"/>
      <c r="L133" s="36"/>
      <c r="M133" s="36"/>
      <c r="N133" s="36"/>
      <c r="O133" s="36"/>
      <c r="P133" s="9"/>
      <c r="Q133" s="36"/>
      <c r="R133" s="9"/>
      <c r="S133" s="9"/>
      <c r="T133" s="39"/>
      <c r="U133" s="39"/>
      <c r="V133" s="36"/>
      <c r="W133" s="9"/>
      <c r="X133" s="9"/>
      <c r="Y133" s="9"/>
      <c r="Z133" s="9"/>
      <c r="AA133" s="9"/>
      <c r="AB133" s="9"/>
      <c r="AC133" s="9"/>
      <c r="AD133" s="37"/>
      <c r="AE133" s="38"/>
      <c r="AF133" s="39"/>
      <c r="AG133" s="39"/>
      <c r="AH133" s="9"/>
      <c r="AI133" s="9"/>
      <c r="AJ133" s="9"/>
      <c r="AK133" s="9"/>
      <c r="AL133" s="9"/>
      <c r="AM133" s="40"/>
      <c r="AN133" s="10" t="str">
        <f aca="false">IF(C133="","",C133&amp;"|"&amp;D133&amp;"|"&amp;E133&amp;"|"&amp;F133&amp;"|"&amp;Y133)</f>
        <v/>
      </c>
    </row>
    <row r="134" customFormat="false" ht="15" hidden="false" customHeight="false" outlineLevel="0" collapsed="false">
      <c r="A134" s="10" t="str">
        <f aca="false">IF(C134="","","RW-"&amp;IFERROR(VLOOKUP(C134,Lists!$M$4:$N$23,2,0),"??")&amp;"-H"&amp;TEXT(D134*1000,"0000")&amp;"-S"&amp;E134&amp;IF(F134="Y","-GW","")&amp;"-"&amp;X134)</f>
        <v/>
      </c>
      <c r="B134" s="10" t="str">
        <f aca="false">IF(C134="","",C134&amp;", H = "&amp;TEXT(D134,"0.0")&amp;" m, q = "&amp;E134&amp;" kPa"&amp;IF(F134="Y",", with GWT",""))</f>
        <v/>
      </c>
      <c r="C134" s="9"/>
      <c r="D134" s="39"/>
      <c r="E134" s="36"/>
      <c r="F134" s="9"/>
      <c r="G134" s="9"/>
      <c r="H134" s="36"/>
      <c r="I134" s="38"/>
      <c r="J134" s="36"/>
      <c r="K134" s="36"/>
      <c r="L134" s="36"/>
      <c r="M134" s="36"/>
      <c r="N134" s="36"/>
      <c r="O134" s="36"/>
      <c r="P134" s="9"/>
      <c r="Q134" s="36"/>
      <c r="R134" s="9"/>
      <c r="S134" s="9"/>
      <c r="T134" s="39"/>
      <c r="U134" s="39"/>
      <c r="V134" s="36"/>
      <c r="W134" s="9"/>
      <c r="X134" s="9"/>
      <c r="Y134" s="9"/>
      <c r="Z134" s="9"/>
      <c r="AA134" s="9"/>
      <c r="AB134" s="9"/>
      <c r="AC134" s="9"/>
      <c r="AD134" s="37"/>
      <c r="AE134" s="38"/>
      <c r="AF134" s="39"/>
      <c r="AG134" s="39"/>
      <c r="AH134" s="9"/>
      <c r="AI134" s="9"/>
      <c r="AJ134" s="9"/>
      <c r="AK134" s="9"/>
      <c r="AL134" s="9"/>
      <c r="AM134" s="40"/>
      <c r="AN134" s="10" t="str">
        <f aca="false">IF(C134="","",C134&amp;"|"&amp;D134&amp;"|"&amp;E134&amp;"|"&amp;F134&amp;"|"&amp;Y134)</f>
        <v/>
      </c>
    </row>
    <row r="135" customFormat="false" ht="15" hidden="false" customHeight="false" outlineLevel="0" collapsed="false">
      <c r="A135" s="10" t="str">
        <f aca="false">IF(C135="","","RW-"&amp;IFERROR(VLOOKUP(C135,Lists!$M$4:$N$23,2,0),"??")&amp;"-H"&amp;TEXT(D135*1000,"0000")&amp;"-S"&amp;E135&amp;IF(F135="Y","-GW","")&amp;"-"&amp;X135)</f>
        <v/>
      </c>
      <c r="B135" s="10" t="str">
        <f aca="false">IF(C135="","",C135&amp;", H = "&amp;TEXT(D135,"0.0")&amp;" m, q = "&amp;E135&amp;" kPa"&amp;IF(F135="Y",", with GWT",""))</f>
        <v/>
      </c>
      <c r="C135" s="9"/>
      <c r="D135" s="39"/>
      <c r="E135" s="36"/>
      <c r="F135" s="9"/>
      <c r="G135" s="9"/>
      <c r="H135" s="36"/>
      <c r="I135" s="38"/>
      <c r="J135" s="36"/>
      <c r="K135" s="36"/>
      <c r="L135" s="36"/>
      <c r="M135" s="36"/>
      <c r="N135" s="36"/>
      <c r="O135" s="36"/>
      <c r="P135" s="9"/>
      <c r="Q135" s="36"/>
      <c r="R135" s="9"/>
      <c r="S135" s="9"/>
      <c r="T135" s="39"/>
      <c r="U135" s="39"/>
      <c r="V135" s="36"/>
      <c r="W135" s="9"/>
      <c r="X135" s="9"/>
      <c r="Y135" s="9"/>
      <c r="Z135" s="9"/>
      <c r="AA135" s="9"/>
      <c r="AB135" s="9"/>
      <c r="AC135" s="9"/>
      <c r="AD135" s="37"/>
      <c r="AE135" s="38"/>
      <c r="AF135" s="39"/>
      <c r="AG135" s="39"/>
      <c r="AH135" s="9"/>
      <c r="AI135" s="9"/>
      <c r="AJ135" s="9"/>
      <c r="AK135" s="9"/>
      <c r="AL135" s="9"/>
      <c r="AM135" s="40"/>
      <c r="AN135" s="10" t="str">
        <f aca="false">IF(C135="","",C135&amp;"|"&amp;D135&amp;"|"&amp;E135&amp;"|"&amp;F135&amp;"|"&amp;Y135)</f>
        <v/>
      </c>
    </row>
    <row r="136" customFormat="false" ht="15" hidden="false" customHeight="false" outlineLevel="0" collapsed="false">
      <c r="A136" s="10" t="str">
        <f aca="false">IF(C136="","","RW-"&amp;IFERROR(VLOOKUP(C136,Lists!$M$4:$N$23,2,0),"??")&amp;"-H"&amp;TEXT(D136*1000,"0000")&amp;"-S"&amp;E136&amp;IF(F136="Y","-GW","")&amp;"-"&amp;X136)</f>
        <v/>
      </c>
      <c r="B136" s="10" t="str">
        <f aca="false">IF(C136="","",C136&amp;", H = "&amp;TEXT(D136,"0.0")&amp;" m, q = "&amp;E136&amp;" kPa"&amp;IF(F136="Y",", with GWT",""))</f>
        <v/>
      </c>
      <c r="C136" s="9"/>
      <c r="D136" s="39"/>
      <c r="E136" s="36"/>
      <c r="F136" s="9"/>
      <c r="G136" s="9"/>
      <c r="H136" s="36"/>
      <c r="I136" s="38"/>
      <c r="J136" s="36"/>
      <c r="K136" s="36"/>
      <c r="L136" s="36"/>
      <c r="M136" s="36"/>
      <c r="N136" s="36"/>
      <c r="O136" s="36"/>
      <c r="P136" s="9"/>
      <c r="Q136" s="36"/>
      <c r="R136" s="9"/>
      <c r="S136" s="9"/>
      <c r="T136" s="39"/>
      <c r="U136" s="39"/>
      <c r="V136" s="36"/>
      <c r="W136" s="9"/>
      <c r="X136" s="9"/>
      <c r="Y136" s="9"/>
      <c r="Z136" s="9"/>
      <c r="AA136" s="9"/>
      <c r="AB136" s="9"/>
      <c r="AC136" s="9"/>
      <c r="AD136" s="37"/>
      <c r="AE136" s="38"/>
      <c r="AF136" s="39"/>
      <c r="AG136" s="39"/>
      <c r="AH136" s="9"/>
      <c r="AI136" s="9"/>
      <c r="AJ136" s="9"/>
      <c r="AK136" s="9"/>
      <c r="AL136" s="9"/>
      <c r="AM136" s="40"/>
      <c r="AN136" s="10" t="str">
        <f aca="false">IF(C136="","",C136&amp;"|"&amp;D136&amp;"|"&amp;E136&amp;"|"&amp;F136&amp;"|"&amp;Y136)</f>
        <v/>
      </c>
    </row>
    <row r="137" customFormat="false" ht="15" hidden="false" customHeight="false" outlineLevel="0" collapsed="false">
      <c r="A137" s="10" t="str">
        <f aca="false">IF(C137="","","RW-"&amp;IFERROR(VLOOKUP(C137,Lists!$M$4:$N$23,2,0),"??")&amp;"-H"&amp;TEXT(D137*1000,"0000")&amp;"-S"&amp;E137&amp;IF(F137="Y","-GW","")&amp;"-"&amp;X137)</f>
        <v/>
      </c>
      <c r="B137" s="10" t="str">
        <f aca="false">IF(C137="","",C137&amp;", H = "&amp;TEXT(D137,"0.0")&amp;" m, q = "&amp;E137&amp;" kPa"&amp;IF(F137="Y",", with GWT",""))</f>
        <v/>
      </c>
      <c r="C137" s="9"/>
      <c r="D137" s="39"/>
      <c r="E137" s="36"/>
      <c r="F137" s="9"/>
      <c r="G137" s="9"/>
      <c r="H137" s="36"/>
      <c r="I137" s="38"/>
      <c r="J137" s="36"/>
      <c r="K137" s="36"/>
      <c r="L137" s="36"/>
      <c r="M137" s="36"/>
      <c r="N137" s="36"/>
      <c r="O137" s="36"/>
      <c r="P137" s="9"/>
      <c r="Q137" s="36"/>
      <c r="R137" s="9"/>
      <c r="S137" s="9"/>
      <c r="T137" s="39"/>
      <c r="U137" s="39"/>
      <c r="V137" s="36"/>
      <c r="W137" s="9"/>
      <c r="X137" s="9"/>
      <c r="Y137" s="9"/>
      <c r="Z137" s="9"/>
      <c r="AA137" s="9"/>
      <c r="AB137" s="9"/>
      <c r="AC137" s="9"/>
      <c r="AD137" s="37"/>
      <c r="AE137" s="38"/>
      <c r="AF137" s="39"/>
      <c r="AG137" s="39"/>
      <c r="AH137" s="9"/>
      <c r="AI137" s="9"/>
      <c r="AJ137" s="9"/>
      <c r="AK137" s="9"/>
      <c r="AL137" s="9"/>
      <c r="AM137" s="40"/>
      <c r="AN137" s="10" t="str">
        <f aca="false">IF(C137="","",C137&amp;"|"&amp;D137&amp;"|"&amp;E137&amp;"|"&amp;F137&amp;"|"&amp;Y137)</f>
        <v/>
      </c>
    </row>
    <row r="138" customFormat="false" ht="15" hidden="false" customHeight="false" outlineLevel="0" collapsed="false">
      <c r="A138" s="10" t="str">
        <f aca="false">IF(C138="","","RW-"&amp;IFERROR(VLOOKUP(C138,Lists!$M$4:$N$23,2,0),"??")&amp;"-H"&amp;TEXT(D138*1000,"0000")&amp;"-S"&amp;E138&amp;IF(F138="Y","-GW","")&amp;"-"&amp;X138)</f>
        <v/>
      </c>
      <c r="B138" s="10" t="str">
        <f aca="false">IF(C138="","",C138&amp;", H = "&amp;TEXT(D138,"0.0")&amp;" m, q = "&amp;E138&amp;" kPa"&amp;IF(F138="Y",", with GWT",""))</f>
        <v/>
      </c>
      <c r="C138" s="9"/>
      <c r="D138" s="39"/>
      <c r="E138" s="36"/>
      <c r="F138" s="9"/>
      <c r="G138" s="9"/>
      <c r="H138" s="36"/>
      <c r="I138" s="38"/>
      <c r="J138" s="36"/>
      <c r="K138" s="36"/>
      <c r="L138" s="36"/>
      <c r="M138" s="36"/>
      <c r="N138" s="36"/>
      <c r="O138" s="36"/>
      <c r="P138" s="9"/>
      <c r="Q138" s="36"/>
      <c r="R138" s="9"/>
      <c r="S138" s="9"/>
      <c r="T138" s="39"/>
      <c r="U138" s="39"/>
      <c r="V138" s="36"/>
      <c r="W138" s="9"/>
      <c r="X138" s="9"/>
      <c r="Y138" s="9"/>
      <c r="Z138" s="9"/>
      <c r="AA138" s="9"/>
      <c r="AB138" s="9"/>
      <c r="AC138" s="9"/>
      <c r="AD138" s="37"/>
      <c r="AE138" s="38"/>
      <c r="AF138" s="39"/>
      <c r="AG138" s="39"/>
      <c r="AH138" s="9"/>
      <c r="AI138" s="9"/>
      <c r="AJ138" s="9"/>
      <c r="AK138" s="9"/>
      <c r="AL138" s="9"/>
      <c r="AM138" s="40"/>
      <c r="AN138" s="10" t="str">
        <f aca="false">IF(C138="","",C138&amp;"|"&amp;D138&amp;"|"&amp;E138&amp;"|"&amp;F138&amp;"|"&amp;Y138)</f>
        <v/>
      </c>
    </row>
    <row r="139" customFormat="false" ht="15" hidden="false" customHeight="false" outlineLevel="0" collapsed="false">
      <c r="A139" s="10" t="str">
        <f aca="false">IF(C139="","","RW-"&amp;IFERROR(VLOOKUP(C139,Lists!$M$4:$N$23,2,0),"??")&amp;"-H"&amp;TEXT(D139*1000,"0000")&amp;"-S"&amp;E139&amp;IF(F139="Y","-GW","")&amp;"-"&amp;X139)</f>
        <v/>
      </c>
      <c r="B139" s="10" t="str">
        <f aca="false">IF(C139="","",C139&amp;", H = "&amp;TEXT(D139,"0.0")&amp;" m, q = "&amp;E139&amp;" kPa"&amp;IF(F139="Y",", with GWT",""))</f>
        <v/>
      </c>
      <c r="C139" s="9"/>
      <c r="D139" s="39"/>
      <c r="E139" s="36"/>
      <c r="F139" s="9"/>
      <c r="G139" s="9"/>
      <c r="H139" s="36"/>
      <c r="I139" s="38"/>
      <c r="J139" s="36"/>
      <c r="K139" s="36"/>
      <c r="L139" s="36"/>
      <c r="M139" s="36"/>
      <c r="N139" s="36"/>
      <c r="O139" s="36"/>
      <c r="P139" s="9"/>
      <c r="Q139" s="36"/>
      <c r="R139" s="9"/>
      <c r="S139" s="9"/>
      <c r="T139" s="39"/>
      <c r="U139" s="39"/>
      <c r="V139" s="36"/>
      <c r="W139" s="9"/>
      <c r="X139" s="9"/>
      <c r="Y139" s="9"/>
      <c r="Z139" s="9"/>
      <c r="AA139" s="9"/>
      <c r="AB139" s="9"/>
      <c r="AC139" s="9"/>
      <c r="AD139" s="37"/>
      <c r="AE139" s="38"/>
      <c r="AF139" s="39"/>
      <c r="AG139" s="39"/>
      <c r="AH139" s="9"/>
      <c r="AI139" s="9"/>
      <c r="AJ139" s="9"/>
      <c r="AK139" s="9"/>
      <c r="AL139" s="9"/>
      <c r="AM139" s="40"/>
      <c r="AN139" s="10" t="str">
        <f aca="false">IF(C139="","",C139&amp;"|"&amp;D139&amp;"|"&amp;E139&amp;"|"&amp;F139&amp;"|"&amp;Y139)</f>
        <v/>
      </c>
    </row>
    <row r="140" customFormat="false" ht="15" hidden="false" customHeight="false" outlineLevel="0" collapsed="false">
      <c r="A140" s="10" t="str">
        <f aca="false">IF(C140="","","RW-"&amp;IFERROR(VLOOKUP(C140,Lists!$M$4:$N$23,2,0),"??")&amp;"-H"&amp;TEXT(D140*1000,"0000")&amp;"-S"&amp;E140&amp;IF(F140="Y","-GW","")&amp;"-"&amp;X140)</f>
        <v/>
      </c>
      <c r="B140" s="10" t="str">
        <f aca="false">IF(C140="","",C140&amp;", H = "&amp;TEXT(D140,"0.0")&amp;" m, q = "&amp;E140&amp;" kPa"&amp;IF(F140="Y",", with GWT",""))</f>
        <v/>
      </c>
      <c r="C140" s="9"/>
      <c r="D140" s="39"/>
      <c r="E140" s="36"/>
      <c r="F140" s="9"/>
      <c r="G140" s="9"/>
      <c r="H140" s="36"/>
      <c r="I140" s="38"/>
      <c r="J140" s="36"/>
      <c r="K140" s="36"/>
      <c r="L140" s="36"/>
      <c r="M140" s="36"/>
      <c r="N140" s="36"/>
      <c r="O140" s="36"/>
      <c r="P140" s="9"/>
      <c r="Q140" s="36"/>
      <c r="R140" s="9"/>
      <c r="S140" s="9"/>
      <c r="T140" s="39"/>
      <c r="U140" s="39"/>
      <c r="V140" s="36"/>
      <c r="W140" s="9"/>
      <c r="X140" s="9"/>
      <c r="Y140" s="9"/>
      <c r="Z140" s="9"/>
      <c r="AA140" s="9"/>
      <c r="AB140" s="9"/>
      <c r="AC140" s="9"/>
      <c r="AD140" s="37"/>
      <c r="AE140" s="38"/>
      <c r="AF140" s="39"/>
      <c r="AG140" s="39"/>
      <c r="AH140" s="9"/>
      <c r="AI140" s="9"/>
      <c r="AJ140" s="9"/>
      <c r="AK140" s="9"/>
      <c r="AL140" s="9"/>
      <c r="AM140" s="40"/>
      <c r="AN140" s="10" t="str">
        <f aca="false">IF(C140="","",C140&amp;"|"&amp;D140&amp;"|"&amp;E140&amp;"|"&amp;F140&amp;"|"&amp;Y140)</f>
        <v/>
      </c>
    </row>
    <row r="141" customFormat="false" ht="15" hidden="false" customHeight="false" outlineLevel="0" collapsed="false">
      <c r="A141" s="10" t="str">
        <f aca="false">IF(C141="","","RW-"&amp;IFERROR(VLOOKUP(C141,Lists!$M$4:$N$23,2,0),"??")&amp;"-H"&amp;TEXT(D141*1000,"0000")&amp;"-S"&amp;E141&amp;IF(F141="Y","-GW","")&amp;"-"&amp;X141)</f>
        <v/>
      </c>
      <c r="B141" s="10" t="str">
        <f aca="false">IF(C141="","",C141&amp;", H = "&amp;TEXT(D141,"0.0")&amp;" m, q = "&amp;E141&amp;" kPa"&amp;IF(F141="Y",", with GWT",""))</f>
        <v/>
      </c>
      <c r="C141" s="9"/>
      <c r="D141" s="39"/>
      <c r="E141" s="36"/>
      <c r="F141" s="9"/>
      <c r="G141" s="9"/>
      <c r="H141" s="36"/>
      <c r="I141" s="38"/>
      <c r="J141" s="36"/>
      <c r="K141" s="36"/>
      <c r="L141" s="36"/>
      <c r="M141" s="36"/>
      <c r="N141" s="36"/>
      <c r="O141" s="36"/>
      <c r="P141" s="9"/>
      <c r="Q141" s="36"/>
      <c r="R141" s="9"/>
      <c r="S141" s="9"/>
      <c r="T141" s="39"/>
      <c r="U141" s="39"/>
      <c r="V141" s="36"/>
      <c r="W141" s="9"/>
      <c r="X141" s="9"/>
      <c r="Y141" s="9"/>
      <c r="Z141" s="9"/>
      <c r="AA141" s="9"/>
      <c r="AB141" s="9"/>
      <c r="AC141" s="9"/>
      <c r="AD141" s="37"/>
      <c r="AE141" s="38"/>
      <c r="AF141" s="39"/>
      <c r="AG141" s="39"/>
      <c r="AH141" s="9"/>
      <c r="AI141" s="9"/>
      <c r="AJ141" s="9"/>
      <c r="AK141" s="9"/>
      <c r="AL141" s="9"/>
      <c r="AM141" s="40"/>
      <c r="AN141" s="10" t="str">
        <f aca="false">IF(C141="","",C141&amp;"|"&amp;D141&amp;"|"&amp;E141&amp;"|"&amp;F141&amp;"|"&amp;Y141)</f>
        <v/>
      </c>
    </row>
    <row r="142" customFormat="false" ht="15" hidden="false" customHeight="false" outlineLevel="0" collapsed="false">
      <c r="A142" s="10" t="str">
        <f aca="false">IF(C142="","","RW-"&amp;IFERROR(VLOOKUP(C142,Lists!$M$4:$N$23,2,0),"??")&amp;"-H"&amp;TEXT(D142*1000,"0000")&amp;"-S"&amp;E142&amp;IF(F142="Y","-GW","")&amp;"-"&amp;X142)</f>
        <v/>
      </c>
      <c r="B142" s="10" t="str">
        <f aca="false">IF(C142="","",C142&amp;", H = "&amp;TEXT(D142,"0.0")&amp;" m, q = "&amp;E142&amp;" kPa"&amp;IF(F142="Y",", with GWT",""))</f>
        <v/>
      </c>
      <c r="C142" s="9"/>
      <c r="D142" s="39"/>
      <c r="E142" s="36"/>
      <c r="F142" s="9"/>
      <c r="G142" s="9"/>
      <c r="H142" s="36"/>
      <c r="I142" s="38"/>
      <c r="J142" s="36"/>
      <c r="K142" s="36"/>
      <c r="L142" s="36"/>
      <c r="M142" s="36"/>
      <c r="N142" s="36"/>
      <c r="O142" s="36"/>
      <c r="P142" s="9"/>
      <c r="Q142" s="36"/>
      <c r="R142" s="9"/>
      <c r="S142" s="9"/>
      <c r="T142" s="39"/>
      <c r="U142" s="39"/>
      <c r="V142" s="36"/>
      <c r="W142" s="9"/>
      <c r="X142" s="9"/>
      <c r="Y142" s="9"/>
      <c r="Z142" s="9"/>
      <c r="AA142" s="9"/>
      <c r="AB142" s="9"/>
      <c r="AC142" s="9"/>
      <c r="AD142" s="37"/>
      <c r="AE142" s="38"/>
      <c r="AF142" s="39"/>
      <c r="AG142" s="39"/>
      <c r="AH142" s="9"/>
      <c r="AI142" s="9"/>
      <c r="AJ142" s="9"/>
      <c r="AK142" s="9"/>
      <c r="AL142" s="9"/>
      <c r="AM142" s="40"/>
      <c r="AN142" s="10" t="str">
        <f aca="false">IF(C142="","",C142&amp;"|"&amp;D142&amp;"|"&amp;E142&amp;"|"&amp;F142&amp;"|"&amp;Y142)</f>
        <v/>
      </c>
    </row>
    <row r="143" customFormat="false" ht="15" hidden="false" customHeight="false" outlineLevel="0" collapsed="false">
      <c r="A143" s="10" t="str">
        <f aca="false">IF(C143="","","RW-"&amp;IFERROR(VLOOKUP(C143,Lists!$M$4:$N$23,2,0),"??")&amp;"-H"&amp;TEXT(D143*1000,"0000")&amp;"-S"&amp;E143&amp;IF(F143="Y","-GW","")&amp;"-"&amp;X143)</f>
        <v/>
      </c>
      <c r="B143" s="10" t="str">
        <f aca="false">IF(C143="","",C143&amp;", H = "&amp;TEXT(D143,"0.0")&amp;" m, q = "&amp;E143&amp;" kPa"&amp;IF(F143="Y",", with GWT",""))</f>
        <v/>
      </c>
      <c r="C143" s="9"/>
      <c r="D143" s="39"/>
      <c r="E143" s="36"/>
      <c r="F143" s="9"/>
      <c r="G143" s="9"/>
      <c r="H143" s="36"/>
      <c r="I143" s="38"/>
      <c r="J143" s="36"/>
      <c r="K143" s="36"/>
      <c r="L143" s="36"/>
      <c r="M143" s="36"/>
      <c r="N143" s="36"/>
      <c r="O143" s="36"/>
      <c r="P143" s="9"/>
      <c r="Q143" s="36"/>
      <c r="R143" s="9"/>
      <c r="S143" s="9"/>
      <c r="T143" s="39"/>
      <c r="U143" s="39"/>
      <c r="V143" s="36"/>
      <c r="W143" s="9"/>
      <c r="X143" s="9"/>
      <c r="Y143" s="9"/>
      <c r="Z143" s="9"/>
      <c r="AA143" s="9"/>
      <c r="AB143" s="9"/>
      <c r="AC143" s="9"/>
      <c r="AD143" s="37"/>
      <c r="AE143" s="38"/>
      <c r="AF143" s="39"/>
      <c r="AG143" s="39"/>
      <c r="AH143" s="9"/>
      <c r="AI143" s="9"/>
      <c r="AJ143" s="9"/>
      <c r="AK143" s="9"/>
      <c r="AL143" s="9"/>
      <c r="AM143" s="40"/>
      <c r="AN143" s="10" t="str">
        <f aca="false">IF(C143="","",C143&amp;"|"&amp;D143&amp;"|"&amp;E143&amp;"|"&amp;F143&amp;"|"&amp;Y143)</f>
        <v/>
      </c>
    </row>
    <row r="144" customFormat="false" ht="15" hidden="false" customHeight="false" outlineLevel="0" collapsed="false">
      <c r="A144" s="10" t="str">
        <f aca="false">IF(C144="","","RW-"&amp;IFERROR(VLOOKUP(C144,Lists!$M$4:$N$23,2,0),"??")&amp;"-H"&amp;TEXT(D144*1000,"0000")&amp;"-S"&amp;E144&amp;IF(F144="Y","-GW","")&amp;"-"&amp;X144)</f>
        <v/>
      </c>
      <c r="B144" s="10" t="str">
        <f aca="false">IF(C144="","",C144&amp;", H = "&amp;TEXT(D144,"0.0")&amp;" m, q = "&amp;E144&amp;" kPa"&amp;IF(F144="Y",", with GWT",""))</f>
        <v/>
      </c>
      <c r="C144" s="9"/>
      <c r="D144" s="39"/>
      <c r="E144" s="36"/>
      <c r="F144" s="9"/>
      <c r="G144" s="9"/>
      <c r="H144" s="36"/>
      <c r="I144" s="38"/>
      <c r="J144" s="36"/>
      <c r="K144" s="36"/>
      <c r="L144" s="36"/>
      <c r="M144" s="36"/>
      <c r="N144" s="36"/>
      <c r="O144" s="36"/>
      <c r="P144" s="9"/>
      <c r="Q144" s="36"/>
      <c r="R144" s="9"/>
      <c r="S144" s="9"/>
      <c r="T144" s="39"/>
      <c r="U144" s="39"/>
      <c r="V144" s="36"/>
      <c r="W144" s="9"/>
      <c r="X144" s="9"/>
      <c r="Y144" s="9"/>
      <c r="Z144" s="9"/>
      <c r="AA144" s="9"/>
      <c r="AB144" s="9"/>
      <c r="AC144" s="9"/>
      <c r="AD144" s="37"/>
      <c r="AE144" s="38"/>
      <c r="AF144" s="39"/>
      <c r="AG144" s="39"/>
      <c r="AH144" s="9"/>
      <c r="AI144" s="9"/>
      <c r="AJ144" s="9"/>
      <c r="AK144" s="9"/>
      <c r="AL144" s="9"/>
      <c r="AM144" s="40"/>
      <c r="AN144" s="10" t="str">
        <f aca="false">IF(C144="","",C144&amp;"|"&amp;D144&amp;"|"&amp;E144&amp;"|"&amp;F144&amp;"|"&amp;Y144)</f>
        <v/>
      </c>
    </row>
    <row r="145" customFormat="false" ht="15" hidden="false" customHeight="false" outlineLevel="0" collapsed="false">
      <c r="A145" s="10" t="str">
        <f aca="false">IF(C145="","","RW-"&amp;IFERROR(VLOOKUP(C145,Lists!$M$4:$N$23,2,0),"??")&amp;"-H"&amp;TEXT(D145*1000,"0000")&amp;"-S"&amp;E145&amp;IF(F145="Y","-GW","")&amp;"-"&amp;X145)</f>
        <v/>
      </c>
      <c r="B145" s="10" t="str">
        <f aca="false">IF(C145="","",C145&amp;", H = "&amp;TEXT(D145,"0.0")&amp;" m, q = "&amp;E145&amp;" kPa"&amp;IF(F145="Y",", with GWT",""))</f>
        <v/>
      </c>
      <c r="C145" s="9"/>
      <c r="D145" s="39"/>
      <c r="E145" s="36"/>
      <c r="F145" s="9"/>
      <c r="G145" s="9"/>
      <c r="H145" s="36"/>
      <c r="I145" s="38"/>
      <c r="J145" s="36"/>
      <c r="K145" s="36"/>
      <c r="L145" s="36"/>
      <c r="M145" s="36"/>
      <c r="N145" s="36"/>
      <c r="O145" s="36"/>
      <c r="P145" s="9"/>
      <c r="Q145" s="36"/>
      <c r="R145" s="9"/>
      <c r="S145" s="9"/>
      <c r="T145" s="39"/>
      <c r="U145" s="39"/>
      <c r="V145" s="36"/>
      <c r="W145" s="9"/>
      <c r="X145" s="9"/>
      <c r="Y145" s="9"/>
      <c r="Z145" s="9"/>
      <c r="AA145" s="9"/>
      <c r="AB145" s="9"/>
      <c r="AC145" s="9"/>
      <c r="AD145" s="37"/>
      <c r="AE145" s="38"/>
      <c r="AF145" s="39"/>
      <c r="AG145" s="39"/>
      <c r="AH145" s="9"/>
      <c r="AI145" s="9"/>
      <c r="AJ145" s="9"/>
      <c r="AK145" s="9"/>
      <c r="AL145" s="9"/>
      <c r="AM145" s="40"/>
      <c r="AN145" s="10" t="str">
        <f aca="false">IF(C145="","",C145&amp;"|"&amp;D145&amp;"|"&amp;E145&amp;"|"&amp;F145&amp;"|"&amp;Y145)</f>
        <v/>
      </c>
    </row>
    <row r="146" customFormat="false" ht="15" hidden="false" customHeight="false" outlineLevel="0" collapsed="false">
      <c r="A146" s="10" t="str">
        <f aca="false">IF(C146="","","RW-"&amp;IFERROR(VLOOKUP(C146,Lists!$M$4:$N$23,2,0),"??")&amp;"-H"&amp;TEXT(D146*1000,"0000")&amp;"-S"&amp;E146&amp;IF(F146="Y","-GW","")&amp;"-"&amp;X146)</f>
        <v/>
      </c>
      <c r="B146" s="10" t="str">
        <f aca="false">IF(C146="","",C146&amp;", H = "&amp;TEXT(D146,"0.0")&amp;" m, q = "&amp;E146&amp;" kPa"&amp;IF(F146="Y",", with GWT",""))</f>
        <v/>
      </c>
      <c r="C146" s="9"/>
      <c r="D146" s="39"/>
      <c r="E146" s="36"/>
      <c r="F146" s="9"/>
      <c r="G146" s="9"/>
      <c r="H146" s="36"/>
      <c r="I146" s="38"/>
      <c r="J146" s="36"/>
      <c r="K146" s="36"/>
      <c r="L146" s="36"/>
      <c r="M146" s="36"/>
      <c r="N146" s="36"/>
      <c r="O146" s="36"/>
      <c r="P146" s="9"/>
      <c r="Q146" s="36"/>
      <c r="R146" s="9"/>
      <c r="S146" s="9"/>
      <c r="T146" s="39"/>
      <c r="U146" s="39"/>
      <c r="V146" s="36"/>
      <c r="W146" s="9"/>
      <c r="X146" s="9"/>
      <c r="Y146" s="9"/>
      <c r="Z146" s="9"/>
      <c r="AA146" s="9"/>
      <c r="AB146" s="9"/>
      <c r="AC146" s="9"/>
      <c r="AD146" s="37"/>
      <c r="AE146" s="38"/>
      <c r="AF146" s="39"/>
      <c r="AG146" s="39"/>
      <c r="AH146" s="9"/>
      <c r="AI146" s="9"/>
      <c r="AJ146" s="9"/>
      <c r="AK146" s="9"/>
      <c r="AL146" s="9"/>
      <c r="AM146" s="40"/>
      <c r="AN146" s="10" t="str">
        <f aca="false">IF(C146="","",C146&amp;"|"&amp;D146&amp;"|"&amp;E146&amp;"|"&amp;F146&amp;"|"&amp;Y146)</f>
        <v/>
      </c>
    </row>
    <row r="147" customFormat="false" ht="15" hidden="false" customHeight="false" outlineLevel="0" collapsed="false">
      <c r="A147" s="10" t="str">
        <f aca="false">IF(C147="","","RW-"&amp;IFERROR(VLOOKUP(C147,Lists!$M$4:$N$23,2,0),"??")&amp;"-H"&amp;TEXT(D147*1000,"0000")&amp;"-S"&amp;E147&amp;IF(F147="Y","-GW","")&amp;"-"&amp;X147)</f>
        <v/>
      </c>
      <c r="B147" s="10" t="str">
        <f aca="false">IF(C147="","",C147&amp;", H = "&amp;TEXT(D147,"0.0")&amp;" m, q = "&amp;E147&amp;" kPa"&amp;IF(F147="Y",", with GWT",""))</f>
        <v/>
      </c>
      <c r="C147" s="9"/>
      <c r="D147" s="39"/>
      <c r="E147" s="36"/>
      <c r="F147" s="9"/>
      <c r="G147" s="9"/>
      <c r="H147" s="36"/>
      <c r="I147" s="38"/>
      <c r="J147" s="36"/>
      <c r="K147" s="36"/>
      <c r="L147" s="36"/>
      <c r="M147" s="36"/>
      <c r="N147" s="36"/>
      <c r="O147" s="36"/>
      <c r="P147" s="9"/>
      <c r="Q147" s="36"/>
      <c r="R147" s="9"/>
      <c r="S147" s="9"/>
      <c r="T147" s="39"/>
      <c r="U147" s="39"/>
      <c r="V147" s="36"/>
      <c r="W147" s="9"/>
      <c r="X147" s="9"/>
      <c r="Y147" s="9"/>
      <c r="Z147" s="9"/>
      <c r="AA147" s="9"/>
      <c r="AB147" s="9"/>
      <c r="AC147" s="9"/>
      <c r="AD147" s="37"/>
      <c r="AE147" s="38"/>
      <c r="AF147" s="39"/>
      <c r="AG147" s="39"/>
      <c r="AH147" s="9"/>
      <c r="AI147" s="9"/>
      <c r="AJ147" s="9"/>
      <c r="AK147" s="9"/>
      <c r="AL147" s="9"/>
      <c r="AM147" s="40"/>
      <c r="AN147" s="10" t="str">
        <f aca="false">IF(C147="","",C147&amp;"|"&amp;D147&amp;"|"&amp;E147&amp;"|"&amp;F147&amp;"|"&amp;Y147)</f>
        <v/>
      </c>
    </row>
    <row r="148" customFormat="false" ht="15" hidden="false" customHeight="false" outlineLevel="0" collapsed="false">
      <c r="A148" s="10" t="str">
        <f aca="false">IF(C148="","","RW-"&amp;IFERROR(VLOOKUP(C148,Lists!$M$4:$N$23,2,0),"??")&amp;"-H"&amp;TEXT(D148*1000,"0000")&amp;"-S"&amp;E148&amp;IF(F148="Y","-GW","")&amp;"-"&amp;X148)</f>
        <v/>
      </c>
      <c r="B148" s="10" t="str">
        <f aca="false">IF(C148="","",C148&amp;", H = "&amp;TEXT(D148,"0.0")&amp;" m, q = "&amp;E148&amp;" kPa"&amp;IF(F148="Y",", with GWT",""))</f>
        <v/>
      </c>
      <c r="C148" s="9"/>
      <c r="D148" s="39"/>
      <c r="E148" s="36"/>
      <c r="F148" s="9"/>
      <c r="G148" s="9"/>
      <c r="H148" s="36"/>
      <c r="I148" s="38"/>
      <c r="J148" s="36"/>
      <c r="K148" s="36"/>
      <c r="L148" s="36"/>
      <c r="M148" s="36"/>
      <c r="N148" s="36"/>
      <c r="O148" s="36"/>
      <c r="P148" s="9"/>
      <c r="Q148" s="36"/>
      <c r="R148" s="9"/>
      <c r="S148" s="9"/>
      <c r="T148" s="39"/>
      <c r="U148" s="39"/>
      <c r="V148" s="36"/>
      <c r="W148" s="9"/>
      <c r="X148" s="9"/>
      <c r="Y148" s="9"/>
      <c r="Z148" s="9"/>
      <c r="AA148" s="9"/>
      <c r="AB148" s="9"/>
      <c r="AC148" s="9"/>
      <c r="AD148" s="37"/>
      <c r="AE148" s="38"/>
      <c r="AF148" s="39"/>
      <c r="AG148" s="39"/>
      <c r="AH148" s="9"/>
      <c r="AI148" s="9"/>
      <c r="AJ148" s="9"/>
      <c r="AK148" s="9"/>
      <c r="AL148" s="9"/>
      <c r="AM148" s="40"/>
      <c r="AN148" s="10" t="str">
        <f aca="false">IF(C148="","",C148&amp;"|"&amp;D148&amp;"|"&amp;E148&amp;"|"&amp;F148&amp;"|"&amp;Y148)</f>
        <v/>
      </c>
    </row>
    <row r="149" customFormat="false" ht="15" hidden="false" customHeight="false" outlineLevel="0" collapsed="false">
      <c r="A149" s="10" t="str">
        <f aca="false">IF(C149="","","RW-"&amp;IFERROR(VLOOKUP(C149,Lists!$M$4:$N$23,2,0),"??")&amp;"-H"&amp;TEXT(D149*1000,"0000")&amp;"-S"&amp;E149&amp;IF(F149="Y","-GW","")&amp;"-"&amp;X149)</f>
        <v/>
      </c>
      <c r="B149" s="10" t="str">
        <f aca="false">IF(C149="","",C149&amp;", H = "&amp;TEXT(D149,"0.0")&amp;" m, q = "&amp;E149&amp;" kPa"&amp;IF(F149="Y",", with GWT",""))</f>
        <v/>
      </c>
      <c r="C149" s="9"/>
      <c r="D149" s="39"/>
      <c r="E149" s="36"/>
      <c r="F149" s="9"/>
      <c r="G149" s="9"/>
      <c r="H149" s="36"/>
      <c r="I149" s="38"/>
      <c r="J149" s="36"/>
      <c r="K149" s="36"/>
      <c r="L149" s="36"/>
      <c r="M149" s="36"/>
      <c r="N149" s="36"/>
      <c r="O149" s="36"/>
      <c r="P149" s="9"/>
      <c r="Q149" s="36"/>
      <c r="R149" s="9"/>
      <c r="S149" s="9"/>
      <c r="T149" s="39"/>
      <c r="U149" s="39"/>
      <c r="V149" s="36"/>
      <c r="W149" s="9"/>
      <c r="X149" s="9"/>
      <c r="Y149" s="9"/>
      <c r="Z149" s="9"/>
      <c r="AA149" s="9"/>
      <c r="AB149" s="9"/>
      <c r="AC149" s="9"/>
      <c r="AD149" s="37"/>
      <c r="AE149" s="38"/>
      <c r="AF149" s="39"/>
      <c r="AG149" s="39"/>
      <c r="AH149" s="9"/>
      <c r="AI149" s="9"/>
      <c r="AJ149" s="9"/>
      <c r="AK149" s="9"/>
      <c r="AL149" s="9"/>
      <c r="AM149" s="40"/>
      <c r="AN149" s="10" t="str">
        <f aca="false">IF(C149="","",C149&amp;"|"&amp;D149&amp;"|"&amp;E149&amp;"|"&amp;F149&amp;"|"&amp;Y149)</f>
        <v/>
      </c>
    </row>
    <row r="150" customFormat="false" ht="15" hidden="false" customHeight="false" outlineLevel="0" collapsed="false">
      <c r="A150" s="10" t="str">
        <f aca="false">IF(C150="","","RW-"&amp;IFERROR(VLOOKUP(C150,Lists!$M$4:$N$23,2,0),"??")&amp;"-H"&amp;TEXT(D150*1000,"0000")&amp;"-S"&amp;E150&amp;IF(F150="Y","-GW","")&amp;"-"&amp;X150)</f>
        <v/>
      </c>
      <c r="B150" s="10" t="str">
        <f aca="false">IF(C150="","",C150&amp;", H = "&amp;TEXT(D150,"0.0")&amp;" m, q = "&amp;E150&amp;" kPa"&amp;IF(F150="Y",", with GWT",""))</f>
        <v/>
      </c>
      <c r="C150" s="9"/>
      <c r="D150" s="39"/>
      <c r="E150" s="36"/>
      <c r="F150" s="9"/>
      <c r="G150" s="9"/>
      <c r="H150" s="36"/>
      <c r="I150" s="38"/>
      <c r="J150" s="36"/>
      <c r="K150" s="36"/>
      <c r="L150" s="36"/>
      <c r="M150" s="36"/>
      <c r="N150" s="36"/>
      <c r="O150" s="36"/>
      <c r="P150" s="9"/>
      <c r="Q150" s="36"/>
      <c r="R150" s="9"/>
      <c r="S150" s="9"/>
      <c r="T150" s="39"/>
      <c r="U150" s="39"/>
      <c r="V150" s="36"/>
      <c r="W150" s="9"/>
      <c r="X150" s="9"/>
      <c r="Y150" s="9"/>
      <c r="Z150" s="9"/>
      <c r="AA150" s="9"/>
      <c r="AB150" s="9"/>
      <c r="AC150" s="9"/>
      <c r="AD150" s="37"/>
      <c r="AE150" s="38"/>
      <c r="AF150" s="39"/>
      <c r="AG150" s="39"/>
      <c r="AH150" s="9"/>
      <c r="AI150" s="9"/>
      <c r="AJ150" s="9"/>
      <c r="AK150" s="9"/>
      <c r="AL150" s="9"/>
      <c r="AM150" s="40"/>
      <c r="AN150" s="10" t="str">
        <f aca="false">IF(C150="","",C150&amp;"|"&amp;D150&amp;"|"&amp;E150&amp;"|"&amp;F150&amp;"|"&amp;Y150)</f>
        <v/>
      </c>
    </row>
    <row r="151" customFormat="false" ht="15" hidden="false" customHeight="false" outlineLevel="0" collapsed="false">
      <c r="A151" s="10" t="str">
        <f aca="false">IF(C151="","","RW-"&amp;IFERROR(VLOOKUP(C151,Lists!$M$4:$N$23,2,0),"??")&amp;"-H"&amp;TEXT(D151*1000,"0000")&amp;"-S"&amp;E151&amp;IF(F151="Y","-GW","")&amp;"-"&amp;X151)</f>
        <v/>
      </c>
      <c r="B151" s="10" t="str">
        <f aca="false">IF(C151="","",C151&amp;", H = "&amp;TEXT(D151,"0.0")&amp;" m, q = "&amp;E151&amp;" kPa"&amp;IF(F151="Y",", with GWT",""))</f>
        <v/>
      </c>
      <c r="C151" s="9"/>
      <c r="D151" s="39"/>
      <c r="E151" s="36"/>
      <c r="F151" s="9"/>
      <c r="G151" s="9"/>
      <c r="H151" s="36"/>
      <c r="I151" s="38"/>
      <c r="J151" s="36"/>
      <c r="K151" s="36"/>
      <c r="L151" s="36"/>
      <c r="M151" s="36"/>
      <c r="N151" s="36"/>
      <c r="O151" s="36"/>
      <c r="P151" s="9"/>
      <c r="Q151" s="36"/>
      <c r="R151" s="9"/>
      <c r="S151" s="9"/>
      <c r="T151" s="39"/>
      <c r="U151" s="39"/>
      <c r="V151" s="36"/>
      <c r="W151" s="9"/>
      <c r="X151" s="9"/>
      <c r="Y151" s="9"/>
      <c r="Z151" s="9"/>
      <c r="AA151" s="9"/>
      <c r="AB151" s="9"/>
      <c r="AC151" s="9"/>
      <c r="AD151" s="37"/>
      <c r="AE151" s="38"/>
      <c r="AF151" s="39"/>
      <c r="AG151" s="39"/>
      <c r="AH151" s="9"/>
      <c r="AI151" s="9"/>
      <c r="AJ151" s="9"/>
      <c r="AK151" s="9"/>
      <c r="AL151" s="9"/>
      <c r="AM151" s="40"/>
      <c r="AN151" s="10" t="str">
        <f aca="false">IF(C151="","",C151&amp;"|"&amp;D151&amp;"|"&amp;E151&amp;"|"&amp;F151&amp;"|"&amp;Y151)</f>
        <v/>
      </c>
    </row>
    <row r="152" customFormat="false" ht="15" hidden="false" customHeight="false" outlineLevel="0" collapsed="false">
      <c r="A152" s="10" t="str">
        <f aca="false">IF(C152="","","RW-"&amp;IFERROR(VLOOKUP(C152,Lists!$M$4:$N$23,2,0),"??")&amp;"-H"&amp;TEXT(D152*1000,"0000")&amp;"-S"&amp;E152&amp;IF(F152="Y","-GW","")&amp;"-"&amp;X152)</f>
        <v/>
      </c>
      <c r="B152" s="10" t="str">
        <f aca="false">IF(C152="","",C152&amp;", H = "&amp;TEXT(D152,"0.0")&amp;" m, q = "&amp;E152&amp;" kPa"&amp;IF(F152="Y",", with GWT",""))</f>
        <v/>
      </c>
      <c r="C152" s="9"/>
      <c r="D152" s="39"/>
      <c r="E152" s="36"/>
      <c r="F152" s="9"/>
      <c r="G152" s="9"/>
      <c r="H152" s="36"/>
      <c r="I152" s="38"/>
      <c r="J152" s="36"/>
      <c r="K152" s="36"/>
      <c r="L152" s="36"/>
      <c r="M152" s="36"/>
      <c r="N152" s="36"/>
      <c r="O152" s="36"/>
      <c r="P152" s="9"/>
      <c r="Q152" s="36"/>
      <c r="R152" s="9"/>
      <c r="S152" s="9"/>
      <c r="T152" s="39"/>
      <c r="U152" s="39"/>
      <c r="V152" s="36"/>
      <c r="W152" s="9"/>
      <c r="X152" s="9"/>
      <c r="Y152" s="9"/>
      <c r="Z152" s="9"/>
      <c r="AA152" s="9"/>
      <c r="AB152" s="9"/>
      <c r="AC152" s="9"/>
      <c r="AD152" s="37"/>
      <c r="AE152" s="38"/>
      <c r="AF152" s="39"/>
      <c r="AG152" s="39"/>
      <c r="AH152" s="9"/>
      <c r="AI152" s="9"/>
      <c r="AJ152" s="9"/>
      <c r="AK152" s="9"/>
      <c r="AL152" s="9"/>
      <c r="AM152" s="40"/>
      <c r="AN152" s="10" t="str">
        <f aca="false">IF(C152="","",C152&amp;"|"&amp;D152&amp;"|"&amp;E152&amp;"|"&amp;F152&amp;"|"&amp;Y152)</f>
        <v/>
      </c>
    </row>
    <row r="153" customFormat="false" ht="15" hidden="false" customHeight="false" outlineLevel="0" collapsed="false">
      <c r="A153" s="10" t="str">
        <f aca="false">IF(C153="","","RW-"&amp;IFERROR(VLOOKUP(C153,Lists!$M$4:$N$23,2,0),"??")&amp;"-H"&amp;TEXT(D153*1000,"0000")&amp;"-S"&amp;E153&amp;IF(F153="Y","-GW","")&amp;"-"&amp;X153)</f>
        <v/>
      </c>
      <c r="B153" s="10" t="str">
        <f aca="false">IF(C153="","",C153&amp;", H = "&amp;TEXT(D153,"0.0")&amp;" m, q = "&amp;E153&amp;" kPa"&amp;IF(F153="Y",", with GWT",""))</f>
        <v/>
      </c>
      <c r="C153" s="9"/>
      <c r="D153" s="39"/>
      <c r="E153" s="36"/>
      <c r="F153" s="9"/>
      <c r="G153" s="9"/>
      <c r="H153" s="36"/>
      <c r="I153" s="38"/>
      <c r="J153" s="36"/>
      <c r="K153" s="36"/>
      <c r="L153" s="36"/>
      <c r="M153" s="36"/>
      <c r="N153" s="36"/>
      <c r="O153" s="36"/>
      <c r="P153" s="9"/>
      <c r="Q153" s="36"/>
      <c r="R153" s="9"/>
      <c r="S153" s="9"/>
      <c r="T153" s="39"/>
      <c r="U153" s="39"/>
      <c r="V153" s="36"/>
      <c r="W153" s="9"/>
      <c r="X153" s="9"/>
      <c r="Y153" s="9"/>
      <c r="Z153" s="9"/>
      <c r="AA153" s="9"/>
      <c r="AB153" s="9"/>
      <c r="AC153" s="9"/>
      <c r="AD153" s="37"/>
      <c r="AE153" s="38"/>
      <c r="AF153" s="39"/>
      <c r="AG153" s="39"/>
      <c r="AH153" s="9"/>
      <c r="AI153" s="9"/>
      <c r="AJ153" s="9"/>
      <c r="AK153" s="9"/>
      <c r="AL153" s="9"/>
      <c r="AM153" s="40"/>
      <c r="AN153" s="10" t="str">
        <f aca="false">IF(C153="","",C153&amp;"|"&amp;D153&amp;"|"&amp;E153&amp;"|"&amp;F153&amp;"|"&amp;Y153)</f>
        <v/>
      </c>
    </row>
    <row r="154" customFormat="false" ht="15" hidden="false" customHeight="false" outlineLevel="0" collapsed="false">
      <c r="A154" s="10" t="str">
        <f aca="false">IF(C154="","","RW-"&amp;IFERROR(VLOOKUP(C154,Lists!$M$4:$N$23,2,0),"??")&amp;"-H"&amp;TEXT(D154*1000,"0000")&amp;"-S"&amp;E154&amp;IF(F154="Y","-GW","")&amp;"-"&amp;X154)</f>
        <v/>
      </c>
      <c r="B154" s="10" t="str">
        <f aca="false">IF(C154="","",C154&amp;", H = "&amp;TEXT(D154,"0.0")&amp;" m, q = "&amp;E154&amp;" kPa"&amp;IF(F154="Y",", with GWT",""))</f>
        <v/>
      </c>
      <c r="C154" s="9"/>
      <c r="D154" s="39"/>
      <c r="E154" s="36"/>
      <c r="F154" s="9"/>
      <c r="G154" s="9"/>
      <c r="H154" s="36"/>
      <c r="I154" s="38"/>
      <c r="J154" s="36"/>
      <c r="K154" s="36"/>
      <c r="L154" s="36"/>
      <c r="M154" s="36"/>
      <c r="N154" s="36"/>
      <c r="O154" s="36"/>
      <c r="P154" s="9"/>
      <c r="Q154" s="36"/>
      <c r="R154" s="9"/>
      <c r="S154" s="9"/>
      <c r="T154" s="39"/>
      <c r="U154" s="39"/>
      <c r="V154" s="36"/>
      <c r="W154" s="9"/>
      <c r="X154" s="9"/>
      <c r="Y154" s="9"/>
      <c r="Z154" s="9"/>
      <c r="AA154" s="9"/>
      <c r="AB154" s="9"/>
      <c r="AC154" s="9"/>
      <c r="AD154" s="37"/>
      <c r="AE154" s="38"/>
      <c r="AF154" s="39"/>
      <c r="AG154" s="39"/>
      <c r="AH154" s="9"/>
      <c r="AI154" s="9"/>
      <c r="AJ154" s="9"/>
      <c r="AK154" s="9"/>
      <c r="AL154" s="9"/>
      <c r="AM154" s="40"/>
      <c r="AN154" s="10" t="str">
        <f aca="false">IF(C154="","",C154&amp;"|"&amp;D154&amp;"|"&amp;E154&amp;"|"&amp;F154&amp;"|"&amp;Y154)</f>
        <v/>
      </c>
    </row>
    <row r="155" customFormat="false" ht="15" hidden="false" customHeight="false" outlineLevel="0" collapsed="false">
      <c r="A155" s="10" t="str">
        <f aca="false">IF(C155="","","RW-"&amp;IFERROR(VLOOKUP(C155,Lists!$M$4:$N$23,2,0),"??")&amp;"-H"&amp;TEXT(D155*1000,"0000")&amp;"-S"&amp;E155&amp;IF(F155="Y","-GW","")&amp;"-"&amp;X155)</f>
        <v/>
      </c>
      <c r="B155" s="10" t="str">
        <f aca="false">IF(C155="","",C155&amp;", H = "&amp;TEXT(D155,"0.0")&amp;" m, q = "&amp;E155&amp;" kPa"&amp;IF(F155="Y",", with GWT",""))</f>
        <v/>
      </c>
      <c r="C155" s="9"/>
      <c r="D155" s="39"/>
      <c r="E155" s="36"/>
      <c r="F155" s="9"/>
      <c r="G155" s="9"/>
      <c r="H155" s="36"/>
      <c r="I155" s="38"/>
      <c r="J155" s="36"/>
      <c r="K155" s="36"/>
      <c r="L155" s="36"/>
      <c r="M155" s="36"/>
      <c r="N155" s="36"/>
      <c r="O155" s="36"/>
      <c r="P155" s="9"/>
      <c r="Q155" s="36"/>
      <c r="R155" s="9"/>
      <c r="S155" s="9"/>
      <c r="T155" s="39"/>
      <c r="U155" s="39"/>
      <c r="V155" s="36"/>
      <c r="W155" s="9"/>
      <c r="X155" s="9"/>
      <c r="Y155" s="9"/>
      <c r="Z155" s="9"/>
      <c r="AA155" s="9"/>
      <c r="AB155" s="9"/>
      <c r="AC155" s="9"/>
      <c r="AD155" s="37"/>
      <c r="AE155" s="38"/>
      <c r="AF155" s="39"/>
      <c r="AG155" s="39"/>
      <c r="AH155" s="9"/>
      <c r="AI155" s="9"/>
      <c r="AJ155" s="9"/>
      <c r="AK155" s="9"/>
      <c r="AL155" s="9"/>
      <c r="AM155" s="40"/>
      <c r="AN155" s="10" t="str">
        <f aca="false">IF(C155="","",C155&amp;"|"&amp;D155&amp;"|"&amp;E155&amp;"|"&amp;F155&amp;"|"&amp;Y155)</f>
        <v/>
      </c>
    </row>
    <row r="156" customFormat="false" ht="15" hidden="false" customHeight="false" outlineLevel="0" collapsed="false">
      <c r="A156" s="10" t="str">
        <f aca="false">IF(C156="","","RW-"&amp;IFERROR(VLOOKUP(C156,Lists!$M$4:$N$23,2,0),"??")&amp;"-H"&amp;TEXT(D156*1000,"0000")&amp;"-S"&amp;E156&amp;IF(F156="Y","-GW","")&amp;"-"&amp;X156)</f>
        <v/>
      </c>
      <c r="B156" s="10" t="str">
        <f aca="false">IF(C156="","",C156&amp;", H = "&amp;TEXT(D156,"0.0")&amp;" m, q = "&amp;E156&amp;" kPa"&amp;IF(F156="Y",", with GWT",""))</f>
        <v/>
      </c>
      <c r="C156" s="9"/>
      <c r="D156" s="39"/>
      <c r="E156" s="36"/>
      <c r="F156" s="9"/>
      <c r="G156" s="9"/>
      <c r="H156" s="36"/>
      <c r="I156" s="38"/>
      <c r="J156" s="36"/>
      <c r="K156" s="36"/>
      <c r="L156" s="36"/>
      <c r="M156" s="36"/>
      <c r="N156" s="36"/>
      <c r="O156" s="36"/>
      <c r="P156" s="9"/>
      <c r="Q156" s="36"/>
      <c r="R156" s="9"/>
      <c r="S156" s="9"/>
      <c r="T156" s="39"/>
      <c r="U156" s="39"/>
      <c r="V156" s="36"/>
      <c r="W156" s="9"/>
      <c r="X156" s="9"/>
      <c r="Y156" s="9"/>
      <c r="Z156" s="9"/>
      <c r="AA156" s="9"/>
      <c r="AB156" s="9"/>
      <c r="AC156" s="9"/>
      <c r="AD156" s="37"/>
      <c r="AE156" s="38"/>
      <c r="AF156" s="39"/>
      <c r="AG156" s="39"/>
      <c r="AH156" s="9"/>
      <c r="AI156" s="9"/>
      <c r="AJ156" s="9"/>
      <c r="AK156" s="9"/>
      <c r="AL156" s="9"/>
      <c r="AM156" s="40"/>
      <c r="AN156" s="10" t="str">
        <f aca="false">IF(C156="","",C156&amp;"|"&amp;D156&amp;"|"&amp;E156&amp;"|"&amp;F156&amp;"|"&amp;Y156)</f>
        <v/>
      </c>
    </row>
    <row r="157" customFormat="false" ht="15" hidden="false" customHeight="false" outlineLevel="0" collapsed="false">
      <c r="A157" s="10" t="str">
        <f aca="false">IF(C157="","","RW-"&amp;IFERROR(VLOOKUP(C157,Lists!$M$4:$N$23,2,0),"??")&amp;"-H"&amp;TEXT(D157*1000,"0000")&amp;"-S"&amp;E157&amp;IF(F157="Y","-GW","")&amp;"-"&amp;X157)</f>
        <v/>
      </c>
      <c r="B157" s="10" t="str">
        <f aca="false">IF(C157="","",C157&amp;", H = "&amp;TEXT(D157,"0.0")&amp;" m, q = "&amp;E157&amp;" kPa"&amp;IF(F157="Y",", with GWT",""))</f>
        <v/>
      </c>
      <c r="C157" s="9"/>
      <c r="D157" s="39"/>
      <c r="E157" s="36"/>
      <c r="F157" s="9"/>
      <c r="G157" s="9"/>
      <c r="H157" s="36"/>
      <c r="I157" s="38"/>
      <c r="J157" s="36"/>
      <c r="K157" s="36"/>
      <c r="L157" s="36"/>
      <c r="M157" s="36"/>
      <c r="N157" s="36"/>
      <c r="O157" s="36"/>
      <c r="P157" s="9"/>
      <c r="Q157" s="36"/>
      <c r="R157" s="9"/>
      <c r="S157" s="9"/>
      <c r="T157" s="39"/>
      <c r="U157" s="39"/>
      <c r="V157" s="36"/>
      <c r="W157" s="9"/>
      <c r="X157" s="9"/>
      <c r="Y157" s="9"/>
      <c r="Z157" s="9"/>
      <c r="AA157" s="9"/>
      <c r="AB157" s="9"/>
      <c r="AC157" s="9"/>
      <c r="AD157" s="37"/>
      <c r="AE157" s="38"/>
      <c r="AF157" s="39"/>
      <c r="AG157" s="39"/>
      <c r="AH157" s="9"/>
      <c r="AI157" s="9"/>
      <c r="AJ157" s="9"/>
      <c r="AK157" s="9"/>
      <c r="AL157" s="9"/>
      <c r="AM157" s="40"/>
      <c r="AN157" s="10" t="str">
        <f aca="false">IF(C157="","",C157&amp;"|"&amp;D157&amp;"|"&amp;E157&amp;"|"&amp;F157&amp;"|"&amp;Y157)</f>
        <v/>
      </c>
    </row>
    <row r="158" customFormat="false" ht="15" hidden="false" customHeight="false" outlineLevel="0" collapsed="false">
      <c r="A158" s="10" t="str">
        <f aca="false">IF(C158="","","RW-"&amp;IFERROR(VLOOKUP(C158,Lists!$M$4:$N$23,2,0),"??")&amp;"-H"&amp;TEXT(D158*1000,"0000")&amp;"-S"&amp;E158&amp;IF(F158="Y","-GW","")&amp;"-"&amp;X158)</f>
        <v/>
      </c>
      <c r="B158" s="10" t="str">
        <f aca="false">IF(C158="","",C158&amp;", H = "&amp;TEXT(D158,"0.0")&amp;" m, q = "&amp;E158&amp;" kPa"&amp;IF(F158="Y",", with GWT",""))</f>
        <v/>
      </c>
      <c r="C158" s="9"/>
      <c r="D158" s="39"/>
      <c r="E158" s="36"/>
      <c r="F158" s="9"/>
      <c r="G158" s="9"/>
      <c r="H158" s="36"/>
      <c r="I158" s="38"/>
      <c r="J158" s="36"/>
      <c r="K158" s="36"/>
      <c r="L158" s="36"/>
      <c r="M158" s="36"/>
      <c r="N158" s="36"/>
      <c r="O158" s="36"/>
      <c r="P158" s="9"/>
      <c r="Q158" s="36"/>
      <c r="R158" s="9"/>
      <c r="S158" s="9"/>
      <c r="T158" s="39"/>
      <c r="U158" s="39"/>
      <c r="V158" s="36"/>
      <c r="W158" s="9"/>
      <c r="X158" s="9"/>
      <c r="Y158" s="9"/>
      <c r="Z158" s="9"/>
      <c r="AA158" s="9"/>
      <c r="AB158" s="9"/>
      <c r="AC158" s="9"/>
      <c r="AD158" s="37"/>
      <c r="AE158" s="38"/>
      <c r="AF158" s="39"/>
      <c r="AG158" s="39"/>
      <c r="AH158" s="9"/>
      <c r="AI158" s="9"/>
      <c r="AJ158" s="9"/>
      <c r="AK158" s="9"/>
      <c r="AL158" s="9"/>
      <c r="AM158" s="40"/>
      <c r="AN158" s="10" t="str">
        <f aca="false">IF(C158="","",C158&amp;"|"&amp;D158&amp;"|"&amp;E158&amp;"|"&amp;F158&amp;"|"&amp;Y158)</f>
        <v/>
      </c>
    </row>
    <row r="159" customFormat="false" ht="15" hidden="false" customHeight="false" outlineLevel="0" collapsed="false">
      <c r="A159" s="10" t="str">
        <f aca="false">IF(C159="","","RW-"&amp;IFERROR(VLOOKUP(C159,Lists!$M$4:$N$23,2,0),"??")&amp;"-H"&amp;TEXT(D159*1000,"0000")&amp;"-S"&amp;E159&amp;IF(F159="Y","-GW","")&amp;"-"&amp;X159)</f>
        <v/>
      </c>
      <c r="B159" s="10" t="str">
        <f aca="false">IF(C159="","",C159&amp;", H = "&amp;TEXT(D159,"0.0")&amp;" m, q = "&amp;E159&amp;" kPa"&amp;IF(F159="Y",", with GWT",""))</f>
        <v/>
      </c>
      <c r="C159" s="9"/>
      <c r="D159" s="39"/>
      <c r="E159" s="36"/>
      <c r="F159" s="9"/>
      <c r="G159" s="9"/>
      <c r="H159" s="36"/>
      <c r="I159" s="38"/>
      <c r="J159" s="36"/>
      <c r="K159" s="36"/>
      <c r="L159" s="36"/>
      <c r="M159" s="36"/>
      <c r="N159" s="36"/>
      <c r="O159" s="36"/>
      <c r="P159" s="9"/>
      <c r="Q159" s="36"/>
      <c r="R159" s="9"/>
      <c r="S159" s="9"/>
      <c r="T159" s="39"/>
      <c r="U159" s="39"/>
      <c r="V159" s="36"/>
      <c r="W159" s="9"/>
      <c r="X159" s="9"/>
      <c r="Y159" s="9"/>
      <c r="Z159" s="9"/>
      <c r="AA159" s="9"/>
      <c r="AB159" s="9"/>
      <c r="AC159" s="9"/>
      <c r="AD159" s="37"/>
      <c r="AE159" s="38"/>
      <c r="AF159" s="39"/>
      <c r="AG159" s="39"/>
      <c r="AH159" s="9"/>
      <c r="AI159" s="9"/>
      <c r="AJ159" s="9"/>
      <c r="AK159" s="9"/>
      <c r="AL159" s="9"/>
      <c r="AM159" s="40"/>
      <c r="AN159" s="10" t="str">
        <f aca="false">IF(C159="","",C159&amp;"|"&amp;D159&amp;"|"&amp;E159&amp;"|"&amp;F159&amp;"|"&amp;Y159)</f>
        <v/>
      </c>
    </row>
    <row r="160" customFormat="false" ht="15" hidden="false" customHeight="false" outlineLevel="0" collapsed="false">
      <c r="A160" s="10" t="str">
        <f aca="false">IF(C160="","","RW-"&amp;IFERROR(VLOOKUP(C160,Lists!$M$4:$N$23,2,0),"??")&amp;"-H"&amp;TEXT(D160*1000,"0000")&amp;"-S"&amp;E160&amp;IF(F160="Y","-GW","")&amp;"-"&amp;X160)</f>
        <v/>
      </c>
      <c r="B160" s="10" t="str">
        <f aca="false">IF(C160="","",C160&amp;", H = "&amp;TEXT(D160,"0.0")&amp;" m, q = "&amp;E160&amp;" kPa"&amp;IF(F160="Y",", with GWT",""))</f>
        <v/>
      </c>
      <c r="C160" s="9"/>
      <c r="D160" s="39"/>
      <c r="E160" s="36"/>
      <c r="F160" s="9"/>
      <c r="G160" s="9"/>
      <c r="H160" s="36"/>
      <c r="I160" s="38"/>
      <c r="J160" s="36"/>
      <c r="K160" s="36"/>
      <c r="L160" s="36"/>
      <c r="M160" s="36"/>
      <c r="N160" s="36"/>
      <c r="O160" s="36"/>
      <c r="P160" s="9"/>
      <c r="Q160" s="36"/>
      <c r="R160" s="9"/>
      <c r="S160" s="9"/>
      <c r="T160" s="39"/>
      <c r="U160" s="39"/>
      <c r="V160" s="36"/>
      <c r="W160" s="9"/>
      <c r="X160" s="9"/>
      <c r="Y160" s="9"/>
      <c r="Z160" s="9"/>
      <c r="AA160" s="9"/>
      <c r="AB160" s="9"/>
      <c r="AC160" s="9"/>
      <c r="AD160" s="37"/>
      <c r="AE160" s="38"/>
      <c r="AF160" s="39"/>
      <c r="AG160" s="39"/>
      <c r="AH160" s="9"/>
      <c r="AI160" s="9"/>
      <c r="AJ160" s="9"/>
      <c r="AK160" s="9"/>
      <c r="AL160" s="9"/>
      <c r="AM160" s="40"/>
      <c r="AN160" s="10" t="str">
        <f aca="false">IF(C160="","",C160&amp;"|"&amp;D160&amp;"|"&amp;E160&amp;"|"&amp;F160&amp;"|"&amp;Y160)</f>
        <v/>
      </c>
    </row>
    <row r="161" customFormat="false" ht="15" hidden="false" customHeight="false" outlineLevel="0" collapsed="false">
      <c r="A161" s="10" t="str">
        <f aca="false">IF(C161="","","RW-"&amp;IFERROR(VLOOKUP(C161,Lists!$M$4:$N$23,2,0),"??")&amp;"-H"&amp;TEXT(D161*1000,"0000")&amp;"-S"&amp;E161&amp;IF(F161="Y","-GW","")&amp;"-"&amp;X161)</f>
        <v/>
      </c>
      <c r="B161" s="10" t="str">
        <f aca="false">IF(C161="","",C161&amp;", H = "&amp;TEXT(D161,"0.0")&amp;" m, q = "&amp;E161&amp;" kPa"&amp;IF(F161="Y",", with GWT",""))</f>
        <v/>
      </c>
      <c r="C161" s="9"/>
      <c r="D161" s="39"/>
      <c r="E161" s="36"/>
      <c r="F161" s="9"/>
      <c r="G161" s="9"/>
      <c r="H161" s="36"/>
      <c r="I161" s="38"/>
      <c r="J161" s="36"/>
      <c r="K161" s="36"/>
      <c r="L161" s="36"/>
      <c r="M161" s="36"/>
      <c r="N161" s="36"/>
      <c r="O161" s="36"/>
      <c r="P161" s="9"/>
      <c r="Q161" s="36"/>
      <c r="R161" s="9"/>
      <c r="S161" s="9"/>
      <c r="T161" s="39"/>
      <c r="U161" s="39"/>
      <c r="V161" s="36"/>
      <c r="W161" s="9"/>
      <c r="X161" s="9"/>
      <c r="Y161" s="9"/>
      <c r="Z161" s="9"/>
      <c r="AA161" s="9"/>
      <c r="AB161" s="9"/>
      <c r="AC161" s="9"/>
      <c r="AD161" s="37"/>
      <c r="AE161" s="38"/>
      <c r="AF161" s="39"/>
      <c r="AG161" s="39"/>
      <c r="AH161" s="9"/>
      <c r="AI161" s="9"/>
      <c r="AJ161" s="9"/>
      <c r="AK161" s="9"/>
      <c r="AL161" s="9"/>
      <c r="AM161" s="40"/>
      <c r="AN161" s="10" t="str">
        <f aca="false">IF(C161="","",C161&amp;"|"&amp;D161&amp;"|"&amp;E161&amp;"|"&amp;F161&amp;"|"&amp;Y161)</f>
        <v/>
      </c>
    </row>
    <row r="162" customFormat="false" ht="15" hidden="false" customHeight="false" outlineLevel="0" collapsed="false">
      <c r="A162" s="10" t="str">
        <f aca="false">IF(C162="","","RW-"&amp;IFERROR(VLOOKUP(C162,Lists!$M$4:$N$23,2,0),"??")&amp;"-H"&amp;TEXT(D162*1000,"0000")&amp;"-S"&amp;E162&amp;IF(F162="Y","-GW","")&amp;"-"&amp;X162)</f>
        <v/>
      </c>
      <c r="B162" s="10" t="str">
        <f aca="false">IF(C162="","",C162&amp;", H = "&amp;TEXT(D162,"0.0")&amp;" m, q = "&amp;E162&amp;" kPa"&amp;IF(F162="Y",", with GWT",""))</f>
        <v/>
      </c>
      <c r="C162" s="9"/>
      <c r="D162" s="39"/>
      <c r="E162" s="36"/>
      <c r="F162" s="9"/>
      <c r="G162" s="9"/>
      <c r="H162" s="36"/>
      <c r="I162" s="38"/>
      <c r="J162" s="36"/>
      <c r="K162" s="36"/>
      <c r="L162" s="36"/>
      <c r="M162" s="36"/>
      <c r="N162" s="36"/>
      <c r="O162" s="36"/>
      <c r="P162" s="9"/>
      <c r="Q162" s="36"/>
      <c r="R162" s="9"/>
      <c r="S162" s="9"/>
      <c r="T162" s="39"/>
      <c r="U162" s="39"/>
      <c r="V162" s="36"/>
      <c r="W162" s="9"/>
      <c r="X162" s="9"/>
      <c r="Y162" s="9"/>
      <c r="Z162" s="9"/>
      <c r="AA162" s="9"/>
      <c r="AB162" s="9"/>
      <c r="AC162" s="9"/>
      <c r="AD162" s="37"/>
      <c r="AE162" s="38"/>
      <c r="AF162" s="39"/>
      <c r="AG162" s="39"/>
      <c r="AH162" s="9"/>
      <c r="AI162" s="9"/>
      <c r="AJ162" s="9"/>
      <c r="AK162" s="9"/>
      <c r="AL162" s="9"/>
      <c r="AM162" s="40"/>
      <c r="AN162" s="10" t="str">
        <f aca="false">IF(C162="","",C162&amp;"|"&amp;D162&amp;"|"&amp;E162&amp;"|"&amp;F162&amp;"|"&amp;Y162)</f>
        <v/>
      </c>
    </row>
    <row r="163" customFormat="false" ht="15" hidden="false" customHeight="false" outlineLevel="0" collapsed="false">
      <c r="A163" s="10" t="str">
        <f aca="false">IF(C163="","","RW-"&amp;IFERROR(VLOOKUP(C163,Lists!$M$4:$N$23,2,0),"??")&amp;"-H"&amp;TEXT(D163*1000,"0000")&amp;"-S"&amp;E163&amp;IF(F163="Y","-GW","")&amp;"-"&amp;X163)</f>
        <v/>
      </c>
      <c r="B163" s="10" t="str">
        <f aca="false">IF(C163="","",C163&amp;", H = "&amp;TEXT(D163,"0.0")&amp;" m, q = "&amp;E163&amp;" kPa"&amp;IF(F163="Y",", with GWT",""))</f>
        <v/>
      </c>
      <c r="C163" s="9"/>
      <c r="D163" s="39"/>
      <c r="E163" s="36"/>
      <c r="F163" s="9"/>
      <c r="G163" s="9"/>
      <c r="H163" s="36"/>
      <c r="I163" s="38"/>
      <c r="J163" s="36"/>
      <c r="K163" s="36"/>
      <c r="L163" s="36"/>
      <c r="M163" s="36"/>
      <c r="N163" s="36"/>
      <c r="O163" s="36"/>
      <c r="P163" s="9"/>
      <c r="Q163" s="36"/>
      <c r="R163" s="9"/>
      <c r="S163" s="9"/>
      <c r="T163" s="39"/>
      <c r="U163" s="39"/>
      <c r="V163" s="36"/>
      <c r="W163" s="9"/>
      <c r="X163" s="9"/>
      <c r="Y163" s="9"/>
      <c r="Z163" s="9"/>
      <c r="AA163" s="9"/>
      <c r="AB163" s="9"/>
      <c r="AC163" s="9"/>
      <c r="AD163" s="37"/>
      <c r="AE163" s="38"/>
      <c r="AF163" s="39"/>
      <c r="AG163" s="39"/>
      <c r="AH163" s="9"/>
      <c r="AI163" s="9"/>
      <c r="AJ163" s="9"/>
      <c r="AK163" s="9"/>
      <c r="AL163" s="9"/>
      <c r="AM163" s="40"/>
      <c r="AN163" s="10" t="str">
        <f aca="false">IF(C163="","",C163&amp;"|"&amp;D163&amp;"|"&amp;E163&amp;"|"&amp;F163&amp;"|"&amp;Y163)</f>
        <v/>
      </c>
    </row>
    <row r="164" customFormat="false" ht="15" hidden="false" customHeight="false" outlineLevel="0" collapsed="false">
      <c r="A164" s="10" t="str">
        <f aca="false">IF(C164="","","RW-"&amp;IFERROR(VLOOKUP(C164,Lists!$M$4:$N$23,2,0),"??")&amp;"-H"&amp;TEXT(D164*1000,"0000")&amp;"-S"&amp;E164&amp;IF(F164="Y","-GW","")&amp;"-"&amp;X164)</f>
        <v/>
      </c>
      <c r="B164" s="10" t="str">
        <f aca="false">IF(C164="","",C164&amp;", H = "&amp;TEXT(D164,"0.0")&amp;" m, q = "&amp;E164&amp;" kPa"&amp;IF(F164="Y",", with GWT",""))</f>
        <v/>
      </c>
      <c r="C164" s="9"/>
      <c r="D164" s="39"/>
      <c r="E164" s="36"/>
      <c r="F164" s="9"/>
      <c r="G164" s="9"/>
      <c r="H164" s="36"/>
      <c r="I164" s="38"/>
      <c r="J164" s="36"/>
      <c r="K164" s="36"/>
      <c r="L164" s="36"/>
      <c r="M164" s="36"/>
      <c r="N164" s="36"/>
      <c r="O164" s="36"/>
      <c r="P164" s="9"/>
      <c r="Q164" s="36"/>
      <c r="R164" s="9"/>
      <c r="S164" s="9"/>
      <c r="T164" s="39"/>
      <c r="U164" s="39"/>
      <c r="V164" s="36"/>
      <c r="W164" s="9"/>
      <c r="X164" s="9"/>
      <c r="Y164" s="9"/>
      <c r="Z164" s="9"/>
      <c r="AA164" s="9"/>
      <c r="AB164" s="9"/>
      <c r="AC164" s="9"/>
      <c r="AD164" s="37"/>
      <c r="AE164" s="38"/>
      <c r="AF164" s="39"/>
      <c r="AG164" s="39"/>
      <c r="AH164" s="9"/>
      <c r="AI164" s="9"/>
      <c r="AJ164" s="9"/>
      <c r="AK164" s="9"/>
      <c r="AL164" s="9"/>
      <c r="AM164" s="40"/>
      <c r="AN164" s="10" t="str">
        <f aca="false">IF(C164="","",C164&amp;"|"&amp;D164&amp;"|"&amp;E164&amp;"|"&amp;F164&amp;"|"&amp;Y164)</f>
        <v/>
      </c>
    </row>
    <row r="165" customFormat="false" ht="15" hidden="false" customHeight="false" outlineLevel="0" collapsed="false">
      <c r="A165" s="10" t="str">
        <f aca="false">IF(C165="","","RW-"&amp;IFERROR(VLOOKUP(C165,Lists!$M$4:$N$23,2,0),"??")&amp;"-H"&amp;TEXT(D165*1000,"0000")&amp;"-S"&amp;E165&amp;IF(F165="Y","-GW","")&amp;"-"&amp;X165)</f>
        <v/>
      </c>
      <c r="B165" s="10" t="str">
        <f aca="false">IF(C165="","",C165&amp;", H = "&amp;TEXT(D165,"0.0")&amp;" m, q = "&amp;E165&amp;" kPa"&amp;IF(F165="Y",", with GWT",""))</f>
        <v/>
      </c>
      <c r="C165" s="9"/>
      <c r="D165" s="39"/>
      <c r="E165" s="36"/>
      <c r="F165" s="9"/>
      <c r="G165" s="9"/>
      <c r="H165" s="36"/>
      <c r="I165" s="38"/>
      <c r="J165" s="36"/>
      <c r="K165" s="36"/>
      <c r="L165" s="36"/>
      <c r="M165" s="36"/>
      <c r="N165" s="36"/>
      <c r="O165" s="36"/>
      <c r="P165" s="9"/>
      <c r="Q165" s="36"/>
      <c r="R165" s="9"/>
      <c r="S165" s="9"/>
      <c r="T165" s="39"/>
      <c r="U165" s="39"/>
      <c r="V165" s="36"/>
      <c r="W165" s="9"/>
      <c r="X165" s="9"/>
      <c r="Y165" s="9"/>
      <c r="Z165" s="9"/>
      <c r="AA165" s="9"/>
      <c r="AB165" s="9"/>
      <c r="AC165" s="9"/>
      <c r="AD165" s="37"/>
      <c r="AE165" s="38"/>
      <c r="AF165" s="39"/>
      <c r="AG165" s="39"/>
      <c r="AH165" s="9"/>
      <c r="AI165" s="9"/>
      <c r="AJ165" s="9"/>
      <c r="AK165" s="9"/>
      <c r="AL165" s="9"/>
      <c r="AM165" s="40"/>
      <c r="AN165" s="10" t="str">
        <f aca="false">IF(C165="","",C165&amp;"|"&amp;D165&amp;"|"&amp;E165&amp;"|"&amp;F165&amp;"|"&amp;Y165)</f>
        <v/>
      </c>
    </row>
    <row r="166" customFormat="false" ht="15" hidden="false" customHeight="false" outlineLevel="0" collapsed="false">
      <c r="A166" s="10" t="str">
        <f aca="false">IF(C166="","","RW-"&amp;IFERROR(VLOOKUP(C166,Lists!$M$4:$N$23,2,0),"??")&amp;"-H"&amp;TEXT(D166*1000,"0000")&amp;"-S"&amp;E166&amp;IF(F166="Y","-GW","")&amp;"-"&amp;X166)</f>
        <v/>
      </c>
      <c r="B166" s="10" t="str">
        <f aca="false">IF(C166="","",C166&amp;", H = "&amp;TEXT(D166,"0.0")&amp;" m, q = "&amp;E166&amp;" kPa"&amp;IF(F166="Y",", with GWT",""))</f>
        <v/>
      </c>
      <c r="C166" s="9"/>
      <c r="D166" s="39"/>
      <c r="E166" s="36"/>
      <c r="F166" s="9"/>
      <c r="G166" s="9"/>
      <c r="H166" s="36"/>
      <c r="I166" s="38"/>
      <c r="J166" s="36"/>
      <c r="K166" s="36"/>
      <c r="L166" s="36"/>
      <c r="M166" s="36"/>
      <c r="N166" s="36"/>
      <c r="O166" s="36"/>
      <c r="P166" s="9"/>
      <c r="Q166" s="36"/>
      <c r="R166" s="9"/>
      <c r="S166" s="9"/>
      <c r="T166" s="39"/>
      <c r="U166" s="39"/>
      <c r="V166" s="36"/>
      <c r="W166" s="9"/>
      <c r="X166" s="9"/>
      <c r="Y166" s="9"/>
      <c r="Z166" s="9"/>
      <c r="AA166" s="9"/>
      <c r="AB166" s="9"/>
      <c r="AC166" s="9"/>
      <c r="AD166" s="37"/>
      <c r="AE166" s="38"/>
      <c r="AF166" s="39"/>
      <c r="AG166" s="39"/>
      <c r="AH166" s="9"/>
      <c r="AI166" s="9"/>
      <c r="AJ166" s="9"/>
      <c r="AK166" s="9"/>
      <c r="AL166" s="9"/>
      <c r="AM166" s="40"/>
      <c r="AN166" s="10" t="str">
        <f aca="false">IF(C166="","",C166&amp;"|"&amp;D166&amp;"|"&amp;E166&amp;"|"&amp;F166&amp;"|"&amp;Y166)</f>
        <v/>
      </c>
    </row>
    <row r="167" customFormat="false" ht="15" hidden="false" customHeight="false" outlineLevel="0" collapsed="false">
      <c r="A167" s="10" t="str">
        <f aca="false">IF(C167="","","RW-"&amp;IFERROR(VLOOKUP(C167,Lists!$M$4:$N$23,2,0),"??")&amp;"-H"&amp;TEXT(D167*1000,"0000")&amp;"-S"&amp;E167&amp;IF(F167="Y","-GW","")&amp;"-"&amp;X167)</f>
        <v/>
      </c>
      <c r="B167" s="10" t="str">
        <f aca="false">IF(C167="","",C167&amp;", H = "&amp;TEXT(D167,"0.0")&amp;" m, q = "&amp;E167&amp;" kPa"&amp;IF(F167="Y",", with GWT",""))</f>
        <v/>
      </c>
      <c r="C167" s="9"/>
      <c r="D167" s="39"/>
      <c r="E167" s="36"/>
      <c r="F167" s="9"/>
      <c r="G167" s="9"/>
      <c r="H167" s="36"/>
      <c r="I167" s="38"/>
      <c r="J167" s="36"/>
      <c r="K167" s="36"/>
      <c r="L167" s="36"/>
      <c r="M167" s="36"/>
      <c r="N167" s="36"/>
      <c r="O167" s="36"/>
      <c r="P167" s="9"/>
      <c r="Q167" s="36"/>
      <c r="R167" s="9"/>
      <c r="S167" s="9"/>
      <c r="T167" s="39"/>
      <c r="U167" s="39"/>
      <c r="V167" s="36"/>
      <c r="W167" s="9"/>
      <c r="X167" s="9"/>
      <c r="Y167" s="9"/>
      <c r="Z167" s="9"/>
      <c r="AA167" s="9"/>
      <c r="AB167" s="9"/>
      <c r="AC167" s="9"/>
      <c r="AD167" s="37"/>
      <c r="AE167" s="38"/>
      <c r="AF167" s="39"/>
      <c r="AG167" s="39"/>
      <c r="AH167" s="9"/>
      <c r="AI167" s="9"/>
      <c r="AJ167" s="9"/>
      <c r="AK167" s="9"/>
      <c r="AL167" s="9"/>
      <c r="AM167" s="40"/>
      <c r="AN167" s="10" t="str">
        <f aca="false">IF(C167="","",C167&amp;"|"&amp;D167&amp;"|"&amp;E167&amp;"|"&amp;F167&amp;"|"&amp;Y167)</f>
        <v/>
      </c>
    </row>
    <row r="168" customFormat="false" ht="15" hidden="false" customHeight="false" outlineLevel="0" collapsed="false">
      <c r="A168" s="10" t="str">
        <f aca="false">IF(C168="","","RW-"&amp;IFERROR(VLOOKUP(C168,Lists!$M$4:$N$23,2,0),"??")&amp;"-H"&amp;TEXT(D168*1000,"0000")&amp;"-S"&amp;E168&amp;IF(F168="Y","-GW","")&amp;"-"&amp;X168)</f>
        <v/>
      </c>
      <c r="B168" s="10" t="str">
        <f aca="false">IF(C168="","",C168&amp;", H = "&amp;TEXT(D168,"0.0")&amp;" m, q = "&amp;E168&amp;" kPa"&amp;IF(F168="Y",", with GWT",""))</f>
        <v/>
      </c>
      <c r="C168" s="9"/>
      <c r="D168" s="39"/>
      <c r="E168" s="36"/>
      <c r="F168" s="9"/>
      <c r="G168" s="9"/>
      <c r="H168" s="36"/>
      <c r="I168" s="38"/>
      <c r="J168" s="36"/>
      <c r="K168" s="36"/>
      <c r="L168" s="36"/>
      <c r="M168" s="36"/>
      <c r="N168" s="36"/>
      <c r="O168" s="36"/>
      <c r="P168" s="9"/>
      <c r="Q168" s="36"/>
      <c r="R168" s="9"/>
      <c r="S168" s="9"/>
      <c r="T168" s="39"/>
      <c r="U168" s="39"/>
      <c r="V168" s="36"/>
      <c r="W168" s="9"/>
      <c r="X168" s="9"/>
      <c r="Y168" s="9"/>
      <c r="Z168" s="9"/>
      <c r="AA168" s="9"/>
      <c r="AB168" s="9"/>
      <c r="AC168" s="9"/>
      <c r="AD168" s="37"/>
      <c r="AE168" s="38"/>
      <c r="AF168" s="39"/>
      <c r="AG168" s="39"/>
      <c r="AH168" s="9"/>
      <c r="AI168" s="9"/>
      <c r="AJ168" s="9"/>
      <c r="AK168" s="9"/>
      <c r="AL168" s="9"/>
      <c r="AM168" s="40"/>
      <c r="AN168" s="10" t="str">
        <f aca="false">IF(C168="","",C168&amp;"|"&amp;D168&amp;"|"&amp;E168&amp;"|"&amp;F168&amp;"|"&amp;Y168)</f>
        <v/>
      </c>
    </row>
    <row r="169" customFormat="false" ht="15" hidden="false" customHeight="false" outlineLevel="0" collapsed="false">
      <c r="A169" s="10" t="str">
        <f aca="false">IF(C169="","","RW-"&amp;IFERROR(VLOOKUP(C169,Lists!$M$4:$N$23,2,0),"??")&amp;"-H"&amp;TEXT(D169*1000,"0000")&amp;"-S"&amp;E169&amp;IF(F169="Y","-GW","")&amp;"-"&amp;X169)</f>
        <v/>
      </c>
      <c r="B169" s="10" t="str">
        <f aca="false">IF(C169="","",C169&amp;", H = "&amp;TEXT(D169,"0.0")&amp;" m, q = "&amp;E169&amp;" kPa"&amp;IF(F169="Y",", with GWT",""))</f>
        <v/>
      </c>
      <c r="C169" s="9"/>
      <c r="D169" s="39"/>
      <c r="E169" s="36"/>
      <c r="F169" s="9"/>
      <c r="G169" s="9"/>
      <c r="H169" s="36"/>
      <c r="I169" s="38"/>
      <c r="J169" s="36"/>
      <c r="K169" s="36"/>
      <c r="L169" s="36"/>
      <c r="M169" s="36"/>
      <c r="N169" s="36"/>
      <c r="O169" s="36"/>
      <c r="P169" s="9"/>
      <c r="Q169" s="36"/>
      <c r="R169" s="9"/>
      <c r="S169" s="9"/>
      <c r="T169" s="39"/>
      <c r="U169" s="39"/>
      <c r="V169" s="36"/>
      <c r="W169" s="9"/>
      <c r="X169" s="9"/>
      <c r="Y169" s="9"/>
      <c r="Z169" s="9"/>
      <c r="AA169" s="9"/>
      <c r="AB169" s="9"/>
      <c r="AC169" s="9"/>
      <c r="AD169" s="37"/>
      <c r="AE169" s="38"/>
      <c r="AF169" s="39"/>
      <c r="AG169" s="39"/>
      <c r="AH169" s="9"/>
      <c r="AI169" s="9"/>
      <c r="AJ169" s="9"/>
      <c r="AK169" s="9"/>
      <c r="AL169" s="9"/>
      <c r="AM169" s="40"/>
      <c r="AN169" s="10" t="str">
        <f aca="false">IF(C169="","",C169&amp;"|"&amp;D169&amp;"|"&amp;E169&amp;"|"&amp;F169&amp;"|"&amp;Y169)</f>
        <v/>
      </c>
    </row>
    <row r="170" customFormat="false" ht="15" hidden="false" customHeight="false" outlineLevel="0" collapsed="false">
      <c r="A170" s="10" t="str">
        <f aca="false">IF(C170="","","RW-"&amp;IFERROR(VLOOKUP(C170,Lists!$M$4:$N$23,2,0),"??")&amp;"-H"&amp;TEXT(D170*1000,"0000")&amp;"-S"&amp;E170&amp;IF(F170="Y","-GW","")&amp;"-"&amp;X170)</f>
        <v/>
      </c>
      <c r="B170" s="10" t="str">
        <f aca="false">IF(C170="","",C170&amp;", H = "&amp;TEXT(D170,"0.0")&amp;" m, q = "&amp;E170&amp;" kPa"&amp;IF(F170="Y",", with GWT",""))</f>
        <v/>
      </c>
      <c r="C170" s="9"/>
      <c r="D170" s="39"/>
      <c r="E170" s="36"/>
      <c r="F170" s="9"/>
      <c r="G170" s="9"/>
      <c r="H170" s="36"/>
      <c r="I170" s="38"/>
      <c r="J170" s="36"/>
      <c r="K170" s="36"/>
      <c r="L170" s="36"/>
      <c r="M170" s="36"/>
      <c r="N170" s="36"/>
      <c r="O170" s="36"/>
      <c r="P170" s="9"/>
      <c r="Q170" s="36"/>
      <c r="R170" s="9"/>
      <c r="S170" s="9"/>
      <c r="T170" s="39"/>
      <c r="U170" s="39"/>
      <c r="V170" s="36"/>
      <c r="W170" s="9"/>
      <c r="X170" s="9"/>
      <c r="Y170" s="9"/>
      <c r="Z170" s="9"/>
      <c r="AA170" s="9"/>
      <c r="AB170" s="9"/>
      <c r="AC170" s="9"/>
      <c r="AD170" s="37"/>
      <c r="AE170" s="38"/>
      <c r="AF170" s="39"/>
      <c r="AG170" s="39"/>
      <c r="AH170" s="9"/>
      <c r="AI170" s="9"/>
      <c r="AJ170" s="9"/>
      <c r="AK170" s="9"/>
      <c r="AL170" s="9"/>
      <c r="AM170" s="40"/>
      <c r="AN170" s="10" t="str">
        <f aca="false">IF(C170="","",C170&amp;"|"&amp;D170&amp;"|"&amp;E170&amp;"|"&amp;F170&amp;"|"&amp;Y170)</f>
        <v/>
      </c>
    </row>
    <row r="171" customFormat="false" ht="15" hidden="false" customHeight="false" outlineLevel="0" collapsed="false">
      <c r="A171" s="10" t="str">
        <f aca="false">IF(C171="","","RW-"&amp;IFERROR(VLOOKUP(C171,Lists!$M$4:$N$23,2,0),"??")&amp;"-H"&amp;TEXT(D171*1000,"0000")&amp;"-S"&amp;E171&amp;IF(F171="Y","-GW","")&amp;"-"&amp;X171)</f>
        <v/>
      </c>
      <c r="B171" s="10" t="str">
        <f aca="false">IF(C171="","",C171&amp;", H = "&amp;TEXT(D171,"0.0")&amp;" m, q = "&amp;E171&amp;" kPa"&amp;IF(F171="Y",", with GWT",""))</f>
        <v/>
      </c>
      <c r="C171" s="9"/>
      <c r="D171" s="39"/>
      <c r="E171" s="36"/>
      <c r="F171" s="9"/>
      <c r="G171" s="9"/>
      <c r="H171" s="36"/>
      <c r="I171" s="38"/>
      <c r="J171" s="36"/>
      <c r="K171" s="36"/>
      <c r="L171" s="36"/>
      <c r="M171" s="36"/>
      <c r="N171" s="36"/>
      <c r="O171" s="36"/>
      <c r="P171" s="9"/>
      <c r="Q171" s="36"/>
      <c r="R171" s="9"/>
      <c r="S171" s="9"/>
      <c r="T171" s="39"/>
      <c r="U171" s="39"/>
      <c r="V171" s="36"/>
      <c r="W171" s="9"/>
      <c r="X171" s="9"/>
      <c r="Y171" s="9"/>
      <c r="Z171" s="9"/>
      <c r="AA171" s="9"/>
      <c r="AB171" s="9"/>
      <c r="AC171" s="9"/>
      <c r="AD171" s="37"/>
      <c r="AE171" s="38"/>
      <c r="AF171" s="39"/>
      <c r="AG171" s="39"/>
      <c r="AH171" s="9"/>
      <c r="AI171" s="9"/>
      <c r="AJ171" s="9"/>
      <c r="AK171" s="9"/>
      <c r="AL171" s="9"/>
      <c r="AM171" s="40"/>
      <c r="AN171" s="10" t="str">
        <f aca="false">IF(C171="","",C171&amp;"|"&amp;D171&amp;"|"&amp;E171&amp;"|"&amp;F171&amp;"|"&amp;Y171)</f>
        <v/>
      </c>
    </row>
    <row r="172" customFormat="false" ht="15" hidden="false" customHeight="false" outlineLevel="0" collapsed="false">
      <c r="A172" s="10" t="str">
        <f aca="false">IF(C172="","","RW-"&amp;IFERROR(VLOOKUP(C172,Lists!$M$4:$N$23,2,0),"??")&amp;"-H"&amp;TEXT(D172*1000,"0000")&amp;"-S"&amp;E172&amp;IF(F172="Y","-GW","")&amp;"-"&amp;X172)</f>
        <v/>
      </c>
      <c r="B172" s="10" t="str">
        <f aca="false">IF(C172="","",C172&amp;", H = "&amp;TEXT(D172,"0.0")&amp;" m, q = "&amp;E172&amp;" kPa"&amp;IF(F172="Y",", with GWT",""))</f>
        <v/>
      </c>
      <c r="C172" s="9"/>
      <c r="D172" s="39"/>
      <c r="E172" s="36"/>
      <c r="F172" s="9"/>
      <c r="G172" s="9"/>
      <c r="H172" s="36"/>
      <c r="I172" s="38"/>
      <c r="J172" s="36"/>
      <c r="K172" s="36"/>
      <c r="L172" s="36"/>
      <c r="M172" s="36"/>
      <c r="N172" s="36"/>
      <c r="O172" s="36"/>
      <c r="P172" s="9"/>
      <c r="Q172" s="36"/>
      <c r="R172" s="9"/>
      <c r="S172" s="9"/>
      <c r="T172" s="39"/>
      <c r="U172" s="39"/>
      <c r="V172" s="36"/>
      <c r="W172" s="9"/>
      <c r="X172" s="9"/>
      <c r="Y172" s="9"/>
      <c r="Z172" s="9"/>
      <c r="AA172" s="9"/>
      <c r="AB172" s="9"/>
      <c r="AC172" s="9"/>
      <c r="AD172" s="37"/>
      <c r="AE172" s="38"/>
      <c r="AF172" s="39"/>
      <c r="AG172" s="39"/>
      <c r="AH172" s="9"/>
      <c r="AI172" s="9"/>
      <c r="AJ172" s="9"/>
      <c r="AK172" s="9"/>
      <c r="AL172" s="9"/>
      <c r="AM172" s="40"/>
      <c r="AN172" s="10" t="str">
        <f aca="false">IF(C172="","",C172&amp;"|"&amp;D172&amp;"|"&amp;E172&amp;"|"&amp;F172&amp;"|"&amp;Y172)</f>
        <v/>
      </c>
    </row>
    <row r="173" customFormat="false" ht="15" hidden="false" customHeight="false" outlineLevel="0" collapsed="false">
      <c r="A173" s="10" t="str">
        <f aca="false">IF(C173="","","RW-"&amp;IFERROR(VLOOKUP(C173,Lists!$M$4:$N$23,2,0),"??")&amp;"-H"&amp;TEXT(D173*1000,"0000")&amp;"-S"&amp;E173&amp;IF(F173="Y","-GW","")&amp;"-"&amp;X173)</f>
        <v/>
      </c>
      <c r="B173" s="10" t="str">
        <f aca="false">IF(C173="","",C173&amp;", H = "&amp;TEXT(D173,"0.0")&amp;" m, q = "&amp;E173&amp;" kPa"&amp;IF(F173="Y",", with GWT",""))</f>
        <v/>
      </c>
      <c r="C173" s="9"/>
      <c r="D173" s="39"/>
      <c r="E173" s="36"/>
      <c r="F173" s="9"/>
      <c r="G173" s="9"/>
      <c r="H173" s="36"/>
      <c r="I173" s="38"/>
      <c r="J173" s="36"/>
      <c r="K173" s="36"/>
      <c r="L173" s="36"/>
      <c r="M173" s="36"/>
      <c r="N173" s="36"/>
      <c r="O173" s="36"/>
      <c r="P173" s="9"/>
      <c r="Q173" s="36"/>
      <c r="R173" s="9"/>
      <c r="S173" s="9"/>
      <c r="T173" s="39"/>
      <c r="U173" s="39"/>
      <c r="V173" s="36"/>
      <c r="W173" s="9"/>
      <c r="X173" s="9"/>
      <c r="Y173" s="9"/>
      <c r="Z173" s="9"/>
      <c r="AA173" s="9"/>
      <c r="AB173" s="9"/>
      <c r="AC173" s="9"/>
      <c r="AD173" s="37"/>
      <c r="AE173" s="38"/>
      <c r="AF173" s="39"/>
      <c r="AG173" s="39"/>
      <c r="AH173" s="9"/>
      <c r="AI173" s="9"/>
      <c r="AJ173" s="9"/>
      <c r="AK173" s="9"/>
      <c r="AL173" s="9"/>
      <c r="AM173" s="40"/>
      <c r="AN173" s="10" t="str">
        <f aca="false">IF(C173="","",C173&amp;"|"&amp;D173&amp;"|"&amp;E173&amp;"|"&amp;F173&amp;"|"&amp;Y173)</f>
        <v/>
      </c>
    </row>
    <row r="174" customFormat="false" ht="15" hidden="false" customHeight="false" outlineLevel="0" collapsed="false">
      <c r="A174" s="10" t="str">
        <f aca="false">IF(C174="","","RW-"&amp;IFERROR(VLOOKUP(C174,Lists!$M$4:$N$23,2,0),"??")&amp;"-H"&amp;TEXT(D174*1000,"0000")&amp;"-S"&amp;E174&amp;IF(F174="Y","-GW","")&amp;"-"&amp;X174)</f>
        <v/>
      </c>
      <c r="B174" s="10" t="str">
        <f aca="false">IF(C174="","",C174&amp;", H = "&amp;TEXT(D174,"0.0")&amp;" m, q = "&amp;E174&amp;" kPa"&amp;IF(F174="Y",", with GWT",""))</f>
        <v/>
      </c>
      <c r="C174" s="9"/>
      <c r="D174" s="39"/>
      <c r="E174" s="36"/>
      <c r="F174" s="9"/>
      <c r="G174" s="9"/>
      <c r="H174" s="36"/>
      <c r="I174" s="38"/>
      <c r="J174" s="36"/>
      <c r="K174" s="36"/>
      <c r="L174" s="36"/>
      <c r="M174" s="36"/>
      <c r="N174" s="36"/>
      <c r="O174" s="36"/>
      <c r="P174" s="9"/>
      <c r="Q174" s="36"/>
      <c r="R174" s="9"/>
      <c r="S174" s="9"/>
      <c r="T174" s="39"/>
      <c r="U174" s="39"/>
      <c r="V174" s="36"/>
      <c r="W174" s="9"/>
      <c r="X174" s="9"/>
      <c r="Y174" s="9"/>
      <c r="Z174" s="9"/>
      <c r="AA174" s="9"/>
      <c r="AB174" s="9"/>
      <c r="AC174" s="9"/>
      <c r="AD174" s="37"/>
      <c r="AE174" s="38"/>
      <c r="AF174" s="39"/>
      <c r="AG174" s="39"/>
      <c r="AH174" s="9"/>
      <c r="AI174" s="9"/>
      <c r="AJ174" s="9"/>
      <c r="AK174" s="9"/>
      <c r="AL174" s="9"/>
      <c r="AM174" s="40"/>
      <c r="AN174" s="10" t="str">
        <f aca="false">IF(C174="","",C174&amp;"|"&amp;D174&amp;"|"&amp;E174&amp;"|"&amp;F174&amp;"|"&amp;Y174)</f>
        <v/>
      </c>
    </row>
    <row r="175" customFormat="false" ht="15" hidden="false" customHeight="false" outlineLevel="0" collapsed="false">
      <c r="A175" s="10" t="str">
        <f aca="false">IF(C175="","","RW-"&amp;IFERROR(VLOOKUP(C175,Lists!$M$4:$N$23,2,0),"??")&amp;"-H"&amp;TEXT(D175*1000,"0000")&amp;"-S"&amp;E175&amp;IF(F175="Y","-GW","")&amp;"-"&amp;X175)</f>
        <v/>
      </c>
      <c r="B175" s="10" t="str">
        <f aca="false">IF(C175="","",C175&amp;", H = "&amp;TEXT(D175,"0.0")&amp;" m, q = "&amp;E175&amp;" kPa"&amp;IF(F175="Y",", with GWT",""))</f>
        <v/>
      </c>
      <c r="C175" s="9"/>
      <c r="D175" s="39"/>
      <c r="E175" s="36"/>
      <c r="F175" s="9"/>
      <c r="G175" s="9"/>
      <c r="H175" s="36"/>
      <c r="I175" s="38"/>
      <c r="J175" s="36"/>
      <c r="K175" s="36"/>
      <c r="L175" s="36"/>
      <c r="M175" s="36"/>
      <c r="N175" s="36"/>
      <c r="O175" s="36"/>
      <c r="P175" s="9"/>
      <c r="Q175" s="36"/>
      <c r="R175" s="9"/>
      <c r="S175" s="9"/>
      <c r="T175" s="39"/>
      <c r="U175" s="39"/>
      <c r="V175" s="36"/>
      <c r="W175" s="9"/>
      <c r="X175" s="9"/>
      <c r="Y175" s="9"/>
      <c r="Z175" s="9"/>
      <c r="AA175" s="9"/>
      <c r="AB175" s="9"/>
      <c r="AC175" s="9"/>
      <c r="AD175" s="37"/>
      <c r="AE175" s="38"/>
      <c r="AF175" s="39"/>
      <c r="AG175" s="39"/>
      <c r="AH175" s="9"/>
      <c r="AI175" s="9"/>
      <c r="AJ175" s="9"/>
      <c r="AK175" s="9"/>
      <c r="AL175" s="9"/>
      <c r="AM175" s="40"/>
      <c r="AN175" s="10" t="str">
        <f aca="false">IF(C175="","",C175&amp;"|"&amp;D175&amp;"|"&amp;E175&amp;"|"&amp;F175&amp;"|"&amp;Y175)</f>
        <v/>
      </c>
    </row>
    <row r="176" customFormat="false" ht="15" hidden="false" customHeight="false" outlineLevel="0" collapsed="false">
      <c r="A176" s="10" t="str">
        <f aca="false">IF(C176="","","RW-"&amp;IFERROR(VLOOKUP(C176,Lists!$M$4:$N$23,2,0),"??")&amp;"-H"&amp;TEXT(D176*1000,"0000")&amp;"-S"&amp;E176&amp;IF(F176="Y","-GW","")&amp;"-"&amp;X176)</f>
        <v/>
      </c>
      <c r="B176" s="10" t="str">
        <f aca="false">IF(C176="","",C176&amp;", H = "&amp;TEXT(D176,"0.0")&amp;" m, q = "&amp;E176&amp;" kPa"&amp;IF(F176="Y",", with GWT",""))</f>
        <v/>
      </c>
      <c r="C176" s="9"/>
      <c r="D176" s="39"/>
      <c r="E176" s="36"/>
      <c r="F176" s="9"/>
      <c r="G176" s="9"/>
      <c r="H176" s="36"/>
      <c r="I176" s="38"/>
      <c r="J176" s="36"/>
      <c r="K176" s="36"/>
      <c r="L176" s="36"/>
      <c r="M176" s="36"/>
      <c r="N176" s="36"/>
      <c r="O176" s="36"/>
      <c r="P176" s="9"/>
      <c r="Q176" s="36"/>
      <c r="R176" s="9"/>
      <c r="S176" s="9"/>
      <c r="T176" s="39"/>
      <c r="U176" s="39"/>
      <c r="V176" s="36"/>
      <c r="W176" s="9"/>
      <c r="X176" s="9"/>
      <c r="Y176" s="9"/>
      <c r="Z176" s="9"/>
      <c r="AA176" s="9"/>
      <c r="AB176" s="9"/>
      <c r="AC176" s="9"/>
      <c r="AD176" s="37"/>
      <c r="AE176" s="38"/>
      <c r="AF176" s="39"/>
      <c r="AG176" s="39"/>
      <c r="AH176" s="9"/>
      <c r="AI176" s="9"/>
      <c r="AJ176" s="9"/>
      <c r="AK176" s="9"/>
      <c r="AL176" s="9"/>
      <c r="AM176" s="40"/>
      <c r="AN176" s="10" t="str">
        <f aca="false">IF(C176="","",C176&amp;"|"&amp;D176&amp;"|"&amp;E176&amp;"|"&amp;F176&amp;"|"&amp;Y176)</f>
        <v/>
      </c>
    </row>
    <row r="177" customFormat="false" ht="15" hidden="false" customHeight="false" outlineLevel="0" collapsed="false">
      <c r="A177" s="10" t="str">
        <f aca="false">IF(C177="","","RW-"&amp;IFERROR(VLOOKUP(C177,Lists!$M$4:$N$23,2,0),"??")&amp;"-H"&amp;TEXT(D177*1000,"0000")&amp;"-S"&amp;E177&amp;IF(F177="Y","-GW","")&amp;"-"&amp;X177)</f>
        <v/>
      </c>
      <c r="B177" s="10" t="str">
        <f aca="false">IF(C177="","",C177&amp;", H = "&amp;TEXT(D177,"0.0")&amp;" m, q = "&amp;E177&amp;" kPa"&amp;IF(F177="Y",", with GWT",""))</f>
        <v/>
      </c>
      <c r="C177" s="9"/>
      <c r="D177" s="39"/>
      <c r="E177" s="36"/>
      <c r="F177" s="9"/>
      <c r="G177" s="9"/>
      <c r="H177" s="36"/>
      <c r="I177" s="38"/>
      <c r="J177" s="36"/>
      <c r="K177" s="36"/>
      <c r="L177" s="36"/>
      <c r="M177" s="36"/>
      <c r="N177" s="36"/>
      <c r="O177" s="36"/>
      <c r="P177" s="9"/>
      <c r="Q177" s="36"/>
      <c r="R177" s="9"/>
      <c r="S177" s="9"/>
      <c r="T177" s="39"/>
      <c r="U177" s="39"/>
      <c r="V177" s="36"/>
      <c r="W177" s="9"/>
      <c r="X177" s="9"/>
      <c r="Y177" s="9"/>
      <c r="Z177" s="9"/>
      <c r="AA177" s="9"/>
      <c r="AB177" s="9"/>
      <c r="AC177" s="9"/>
      <c r="AD177" s="37"/>
      <c r="AE177" s="38"/>
      <c r="AF177" s="39"/>
      <c r="AG177" s="39"/>
      <c r="AH177" s="9"/>
      <c r="AI177" s="9"/>
      <c r="AJ177" s="9"/>
      <c r="AK177" s="9"/>
      <c r="AL177" s="9"/>
      <c r="AM177" s="40"/>
      <c r="AN177" s="10" t="str">
        <f aca="false">IF(C177="","",C177&amp;"|"&amp;D177&amp;"|"&amp;E177&amp;"|"&amp;F177&amp;"|"&amp;Y177)</f>
        <v/>
      </c>
    </row>
    <row r="178" customFormat="false" ht="15" hidden="false" customHeight="false" outlineLevel="0" collapsed="false">
      <c r="A178" s="10" t="str">
        <f aca="false">IF(C178="","","RW-"&amp;IFERROR(VLOOKUP(C178,Lists!$M$4:$N$23,2,0),"??")&amp;"-H"&amp;TEXT(D178*1000,"0000")&amp;"-S"&amp;E178&amp;IF(F178="Y","-GW","")&amp;"-"&amp;X178)</f>
        <v/>
      </c>
      <c r="B178" s="10" t="str">
        <f aca="false">IF(C178="","",C178&amp;", H = "&amp;TEXT(D178,"0.0")&amp;" m, q = "&amp;E178&amp;" kPa"&amp;IF(F178="Y",", with GWT",""))</f>
        <v/>
      </c>
      <c r="C178" s="9"/>
      <c r="D178" s="39"/>
      <c r="E178" s="36"/>
      <c r="F178" s="9"/>
      <c r="G178" s="9"/>
      <c r="H178" s="36"/>
      <c r="I178" s="38"/>
      <c r="J178" s="36"/>
      <c r="K178" s="36"/>
      <c r="L178" s="36"/>
      <c r="M178" s="36"/>
      <c r="N178" s="36"/>
      <c r="O178" s="36"/>
      <c r="P178" s="9"/>
      <c r="Q178" s="36"/>
      <c r="R178" s="9"/>
      <c r="S178" s="9"/>
      <c r="T178" s="39"/>
      <c r="U178" s="39"/>
      <c r="V178" s="36"/>
      <c r="W178" s="9"/>
      <c r="X178" s="9"/>
      <c r="Y178" s="9"/>
      <c r="Z178" s="9"/>
      <c r="AA178" s="9"/>
      <c r="AB178" s="9"/>
      <c r="AC178" s="9"/>
      <c r="AD178" s="37"/>
      <c r="AE178" s="38"/>
      <c r="AF178" s="39"/>
      <c r="AG178" s="39"/>
      <c r="AH178" s="9"/>
      <c r="AI178" s="9"/>
      <c r="AJ178" s="9"/>
      <c r="AK178" s="9"/>
      <c r="AL178" s="9"/>
      <c r="AM178" s="40"/>
      <c r="AN178" s="10" t="str">
        <f aca="false">IF(C178="","",C178&amp;"|"&amp;D178&amp;"|"&amp;E178&amp;"|"&amp;F178&amp;"|"&amp;Y178)</f>
        <v/>
      </c>
    </row>
    <row r="179" customFormat="false" ht="15" hidden="false" customHeight="false" outlineLevel="0" collapsed="false">
      <c r="A179" s="10" t="str">
        <f aca="false">IF(C179="","","RW-"&amp;IFERROR(VLOOKUP(C179,Lists!$M$4:$N$23,2,0),"??")&amp;"-H"&amp;TEXT(D179*1000,"0000")&amp;"-S"&amp;E179&amp;IF(F179="Y","-GW","")&amp;"-"&amp;X179)</f>
        <v/>
      </c>
      <c r="B179" s="10" t="str">
        <f aca="false">IF(C179="","",C179&amp;", H = "&amp;TEXT(D179,"0.0")&amp;" m, q = "&amp;E179&amp;" kPa"&amp;IF(F179="Y",", with GWT",""))</f>
        <v/>
      </c>
      <c r="C179" s="9"/>
      <c r="D179" s="39"/>
      <c r="E179" s="36"/>
      <c r="F179" s="9"/>
      <c r="G179" s="9"/>
      <c r="H179" s="36"/>
      <c r="I179" s="38"/>
      <c r="J179" s="36"/>
      <c r="K179" s="36"/>
      <c r="L179" s="36"/>
      <c r="M179" s="36"/>
      <c r="N179" s="36"/>
      <c r="O179" s="36"/>
      <c r="P179" s="9"/>
      <c r="Q179" s="36"/>
      <c r="R179" s="9"/>
      <c r="S179" s="9"/>
      <c r="T179" s="39"/>
      <c r="U179" s="39"/>
      <c r="V179" s="36"/>
      <c r="W179" s="9"/>
      <c r="X179" s="9"/>
      <c r="Y179" s="9"/>
      <c r="Z179" s="9"/>
      <c r="AA179" s="9"/>
      <c r="AB179" s="9"/>
      <c r="AC179" s="9"/>
      <c r="AD179" s="37"/>
      <c r="AE179" s="38"/>
      <c r="AF179" s="39"/>
      <c r="AG179" s="39"/>
      <c r="AH179" s="9"/>
      <c r="AI179" s="9"/>
      <c r="AJ179" s="9"/>
      <c r="AK179" s="9"/>
      <c r="AL179" s="9"/>
      <c r="AM179" s="40"/>
      <c r="AN179" s="10" t="str">
        <f aca="false">IF(C179="","",C179&amp;"|"&amp;D179&amp;"|"&amp;E179&amp;"|"&amp;F179&amp;"|"&amp;Y179)</f>
        <v/>
      </c>
    </row>
    <row r="180" customFormat="false" ht="15" hidden="false" customHeight="false" outlineLevel="0" collapsed="false">
      <c r="A180" s="10" t="str">
        <f aca="false">IF(C180="","","RW-"&amp;IFERROR(VLOOKUP(C180,Lists!$M$4:$N$23,2,0),"??")&amp;"-H"&amp;TEXT(D180*1000,"0000")&amp;"-S"&amp;E180&amp;IF(F180="Y","-GW","")&amp;"-"&amp;X180)</f>
        <v/>
      </c>
      <c r="B180" s="10" t="str">
        <f aca="false">IF(C180="","",C180&amp;", H = "&amp;TEXT(D180,"0.0")&amp;" m, q = "&amp;E180&amp;" kPa"&amp;IF(F180="Y",", with GWT",""))</f>
        <v/>
      </c>
      <c r="C180" s="9"/>
      <c r="D180" s="39"/>
      <c r="E180" s="36"/>
      <c r="F180" s="9"/>
      <c r="G180" s="9"/>
      <c r="H180" s="36"/>
      <c r="I180" s="38"/>
      <c r="J180" s="36"/>
      <c r="K180" s="36"/>
      <c r="L180" s="36"/>
      <c r="M180" s="36"/>
      <c r="N180" s="36"/>
      <c r="O180" s="36"/>
      <c r="P180" s="9"/>
      <c r="Q180" s="36"/>
      <c r="R180" s="9"/>
      <c r="S180" s="9"/>
      <c r="T180" s="39"/>
      <c r="U180" s="39"/>
      <c r="V180" s="36"/>
      <c r="W180" s="9"/>
      <c r="X180" s="9"/>
      <c r="Y180" s="9"/>
      <c r="Z180" s="9"/>
      <c r="AA180" s="9"/>
      <c r="AB180" s="9"/>
      <c r="AC180" s="9"/>
      <c r="AD180" s="37"/>
      <c r="AE180" s="38"/>
      <c r="AF180" s="39"/>
      <c r="AG180" s="39"/>
      <c r="AH180" s="9"/>
      <c r="AI180" s="9"/>
      <c r="AJ180" s="9"/>
      <c r="AK180" s="9"/>
      <c r="AL180" s="9"/>
      <c r="AM180" s="40"/>
      <c r="AN180" s="10" t="str">
        <f aca="false">IF(C180="","",C180&amp;"|"&amp;D180&amp;"|"&amp;E180&amp;"|"&amp;F180&amp;"|"&amp;Y180)</f>
        <v/>
      </c>
    </row>
    <row r="181" customFormat="false" ht="15" hidden="false" customHeight="false" outlineLevel="0" collapsed="false">
      <c r="A181" s="10" t="str">
        <f aca="false">IF(C181="","","RW-"&amp;IFERROR(VLOOKUP(C181,Lists!$M$4:$N$23,2,0),"??")&amp;"-H"&amp;TEXT(D181*1000,"0000")&amp;"-S"&amp;E181&amp;IF(F181="Y","-GW","")&amp;"-"&amp;X181)</f>
        <v/>
      </c>
      <c r="B181" s="10" t="str">
        <f aca="false">IF(C181="","",C181&amp;", H = "&amp;TEXT(D181,"0.0")&amp;" m, q = "&amp;E181&amp;" kPa"&amp;IF(F181="Y",", with GWT",""))</f>
        <v/>
      </c>
      <c r="C181" s="9"/>
      <c r="D181" s="39"/>
      <c r="E181" s="36"/>
      <c r="F181" s="9"/>
      <c r="G181" s="9"/>
      <c r="H181" s="36"/>
      <c r="I181" s="38"/>
      <c r="J181" s="36"/>
      <c r="K181" s="36"/>
      <c r="L181" s="36"/>
      <c r="M181" s="36"/>
      <c r="N181" s="36"/>
      <c r="O181" s="36"/>
      <c r="P181" s="9"/>
      <c r="Q181" s="36"/>
      <c r="R181" s="9"/>
      <c r="S181" s="9"/>
      <c r="T181" s="39"/>
      <c r="U181" s="39"/>
      <c r="V181" s="36"/>
      <c r="W181" s="9"/>
      <c r="X181" s="9"/>
      <c r="Y181" s="9"/>
      <c r="Z181" s="9"/>
      <c r="AA181" s="9"/>
      <c r="AB181" s="9"/>
      <c r="AC181" s="9"/>
      <c r="AD181" s="37"/>
      <c r="AE181" s="38"/>
      <c r="AF181" s="39"/>
      <c r="AG181" s="39"/>
      <c r="AH181" s="9"/>
      <c r="AI181" s="9"/>
      <c r="AJ181" s="9"/>
      <c r="AK181" s="9"/>
      <c r="AL181" s="9"/>
      <c r="AM181" s="40"/>
      <c r="AN181" s="10" t="str">
        <f aca="false">IF(C181="","",C181&amp;"|"&amp;D181&amp;"|"&amp;E181&amp;"|"&amp;F181&amp;"|"&amp;Y181)</f>
        <v/>
      </c>
    </row>
    <row r="182" customFormat="false" ht="15" hidden="false" customHeight="false" outlineLevel="0" collapsed="false">
      <c r="A182" s="10" t="str">
        <f aca="false">IF(C182="","","RW-"&amp;IFERROR(VLOOKUP(C182,Lists!$M$4:$N$23,2,0),"??")&amp;"-H"&amp;TEXT(D182*1000,"0000")&amp;"-S"&amp;E182&amp;IF(F182="Y","-GW","")&amp;"-"&amp;X182)</f>
        <v/>
      </c>
      <c r="B182" s="10" t="str">
        <f aca="false">IF(C182="","",C182&amp;", H = "&amp;TEXT(D182,"0.0")&amp;" m, q = "&amp;E182&amp;" kPa"&amp;IF(F182="Y",", with GWT",""))</f>
        <v/>
      </c>
      <c r="C182" s="9"/>
      <c r="D182" s="39"/>
      <c r="E182" s="36"/>
      <c r="F182" s="9"/>
      <c r="G182" s="9"/>
      <c r="H182" s="36"/>
      <c r="I182" s="38"/>
      <c r="J182" s="36"/>
      <c r="K182" s="36"/>
      <c r="L182" s="36"/>
      <c r="M182" s="36"/>
      <c r="N182" s="36"/>
      <c r="O182" s="36"/>
      <c r="P182" s="9"/>
      <c r="Q182" s="36"/>
      <c r="R182" s="9"/>
      <c r="S182" s="9"/>
      <c r="T182" s="39"/>
      <c r="U182" s="39"/>
      <c r="V182" s="36"/>
      <c r="W182" s="9"/>
      <c r="X182" s="9"/>
      <c r="Y182" s="9"/>
      <c r="Z182" s="9"/>
      <c r="AA182" s="9"/>
      <c r="AB182" s="9"/>
      <c r="AC182" s="9"/>
      <c r="AD182" s="37"/>
      <c r="AE182" s="38"/>
      <c r="AF182" s="39"/>
      <c r="AG182" s="39"/>
      <c r="AH182" s="9"/>
      <c r="AI182" s="9"/>
      <c r="AJ182" s="9"/>
      <c r="AK182" s="9"/>
      <c r="AL182" s="9"/>
      <c r="AM182" s="40"/>
      <c r="AN182" s="10" t="str">
        <f aca="false">IF(C182="","",C182&amp;"|"&amp;D182&amp;"|"&amp;E182&amp;"|"&amp;F182&amp;"|"&amp;Y182)</f>
        <v/>
      </c>
    </row>
    <row r="183" customFormat="false" ht="15" hidden="false" customHeight="false" outlineLevel="0" collapsed="false">
      <c r="A183" s="10" t="str">
        <f aca="false">IF(C183="","","RW-"&amp;IFERROR(VLOOKUP(C183,Lists!$M$4:$N$23,2,0),"??")&amp;"-H"&amp;TEXT(D183*1000,"0000")&amp;"-S"&amp;E183&amp;IF(F183="Y","-GW","")&amp;"-"&amp;X183)</f>
        <v/>
      </c>
      <c r="B183" s="10" t="str">
        <f aca="false">IF(C183="","",C183&amp;", H = "&amp;TEXT(D183,"0.0")&amp;" m, q = "&amp;E183&amp;" kPa"&amp;IF(F183="Y",", with GWT",""))</f>
        <v/>
      </c>
      <c r="C183" s="9"/>
      <c r="D183" s="39"/>
      <c r="E183" s="36"/>
      <c r="F183" s="9"/>
      <c r="G183" s="9"/>
      <c r="H183" s="36"/>
      <c r="I183" s="38"/>
      <c r="J183" s="36"/>
      <c r="K183" s="36"/>
      <c r="L183" s="36"/>
      <c r="M183" s="36"/>
      <c r="N183" s="36"/>
      <c r="O183" s="36"/>
      <c r="P183" s="9"/>
      <c r="Q183" s="36"/>
      <c r="R183" s="9"/>
      <c r="S183" s="9"/>
      <c r="T183" s="39"/>
      <c r="U183" s="39"/>
      <c r="V183" s="36"/>
      <c r="W183" s="9"/>
      <c r="X183" s="9"/>
      <c r="Y183" s="9"/>
      <c r="Z183" s="9"/>
      <c r="AA183" s="9"/>
      <c r="AB183" s="9"/>
      <c r="AC183" s="9"/>
      <c r="AD183" s="37"/>
      <c r="AE183" s="38"/>
      <c r="AF183" s="39"/>
      <c r="AG183" s="39"/>
      <c r="AH183" s="9"/>
      <c r="AI183" s="9"/>
      <c r="AJ183" s="9"/>
      <c r="AK183" s="9"/>
      <c r="AL183" s="9"/>
      <c r="AM183" s="40"/>
      <c r="AN183" s="10" t="str">
        <f aca="false">IF(C183="","",C183&amp;"|"&amp;D183&amp;"|"&amp;E183&amp;"|"&amp;F183&amp;"|"&amp;Y183)</f>
        <v/>
      </c>
    </row>
    <row r="184" customFormat="false" ht="15" hidden="false" customHeight="false" outlineLevel="0" collapsed="false">
      <c r="A184" s="10" t="str">
        <f aca="false">IF(C184="","","RW-"&amp;IFERROR(VLOOKUP(C184,Lists!$M$4:$N$23,2,0),"??")&amp;"-H"&amp;TEXT(D184*1000,"0000")&amp;"-S"&amp;E184&amp;IF(F184="Y","-GW","")&amp;"-"&amp;X184)</f>
        <v/>
      </c>
      <c r="B184" s="10" t="str">
        <f aca="false">IF(C184="","",C184&amp;", H = "&amp;TEXT(D184,"0.0")&amp;" m, q = "&amp;E184&amp;" kPa"&amp;IF(F184="Y",", with GWT",""))</f>
        <v/>
      </c>
      <c r="C184" s="9"/>
      <c r="D184" s="39"/>
      <c r="E184" s="36"/>
      <c r="F184" s="9"/>
      <c r="G184" s="9"/>
      <c r="H184" s="36"/>
      <c r="I184" s="38"/>
      <c r="J184" s="36"/>
      <c r="K184" s="36"/>
      <c r="L184" s="36"/>
      <c r="M184" s="36"/>
      <c r="N184" s="36"/>
      <c r="O184" s="36"/>
      <c r="P184" s="9"/>
      <c r="Q184" s="36"/>
      <c r="R184" s="9"/>
      <c r="S184" s="9"/>
      <c r="T184" s="39"/>
      <c r="U184" s="39"/>
      <c r="V184" s="36"/>
      <c r="W184" s="9"/>
      <c r="X184" s="9"/>
      <c r="Y184" s="9"/>
      <c r="Z184" s="9"/>
      <c r="AA184" s="9"/>
      <c r="AB184" s="9"/>
      <c r="AC184" s="9"/>
      <c r="AD184" s="37"/>
      <c r="AE184" s="38"/>
      <c r="AF184" s="39"/>
      <c r="AG184" s="39"/>
      <c r="AH184" s="9"/>
      <c r="AI184" s="9"/>
      <c r="AJ184" s="9"/>
      <c r="AK184" s="9"/>
      <c r="AL184" s="9"/>
      <c r="AM184" s="40"/>
      <c r="AN184" s="10" t="str">
        <f aca="false">IF(C184="","",C184&amp;"|"&amp;D184&amp;"|"&amp;E184&amp;"|"&amp;F184&amp;"|"&amp;Y184)</f>
        <v/>
      </c>
    </row>
    <row r="185" customFormat="false" ht="15" hidden="false" customHeight="false" outlineLevel="0" collapsed="false">
      <c r="A185" s="10" t="str">
        <f aca="false">IF(C185="","","RW-"&amp;IFERROR(VLOOKUP(C185,Lists!$M$4:$N$23,2,0),"??")&amp;"-H"&amp;TEXT(D185*1000,"0000")&amp;"-S"&amp;E185&amp;IF(F185="Y","-GW","")&amp;"-"&amp;X185)</f>
        <v/>
      </c>
      <c r="B185" s="10" t="str">
        <f aca="false">IF(C185="","",C185&amp;", H = "&amp;TEXT(D185,"0.0")&amp;" m, q = "&amp;E185&amp;" kPa"&amp;IF(F185="Y",", with GWT",""))</f>
        <v/>
      </c>
      <c r="C185" s="9"/>
      <c r="D185" s="39"/>
      <c r="E185" s="36"/>
      <c r="F185" s="9"/>
      <c r="G185" s="9"/>
      <c r="H185" s="36"/>
      <c r="I185" s="38"/>
      <c r="J185" s="36"/>
      <c r="K185" s="36"/>
      <c r="L185" s="36"/>
      <c r="M185" s="36"/>
      <c r="N185" s="36"/>
      <c r="O185" s="36"/>
      <c r="P185" s="9"/>
      <c r="Q185" s="36"/>
      <c r="R185" s="9"/>
      <c r="S185" s="9"/>
      <c r="T185" s="39"/>
      <c r="U185" s="39"/>
      <c r="V185" s="36"/>
      <c r="W185" s="9"/>
      <c r="X185" s="9"/>
      <c r="Y185" s="9"/>
      <c r="Z185" s="9"/>
      <c r="AA185" s="9"/>
      <c r="AB185" s="9"/>
      <c r="AC185" s="9"/>
      <c r="AD185" s="37"/>
      <c r="AE185" s="38"/>
      <c r="AF185" s="39"/>
      <c r="AG185" s="39"/>
      <c r="AH185" s="9"/>
      <c r="AI185" s="9"/>
      <c r="AJ185" s="9"/>
      <c r="AK185" s="9"/>
      <c r="AL185" s="9"/>
      <c r="AM185" s="40"/>
      <c r="AN185" s="10" t="str">
        <f aca="false">IF(C185="","",C185&amp;"|"&amp;D185&amp;"|"&amp;E185&amp;"|"&amp;F185&amp;"|"&amp;Y185)</f>
        <v/>
      </c>
    </row>
    <row r="186" customFormat="false" ht="15" hidden="false" customHeight="false" outlineLevel="0" collapsed="false">
      <c r="A186" s="10" t="str">
        <f aca="false">IF(C186="","","RW-"&amp;IFERROR(VLOOKUP(C186,Lists!$M$4:$N$23,2,0),"??")&amp;"-H"&amp;TEXT(D186*1000,"0000")&amp;"-S"&amp;E186&amp;IF(F186="Y","-GW","")&amp;"-"&amp;X186)</f>
        <v/>
      </c>
      <c r="B186" s="10" t="str">
        <f aca="false">IF(C186="","",C186&amp;", H = "&amp;TEXT(D186,"0.0")&amp;" m, q = "&amp;E186&amp;" kPa"&amp;IF(F186="Y",", with GWT",""))</f>
        <v/>
      </c>
      <c r="C186" s="9"/>
      <c r="D186" s="39"/>
      <c r="E186" s="36"/>
      <c r="F186" s="9"/>
      <c r="G186" s="9"/>
      <c r="H186" s="36"/>
      <c r="I186" s="38"/>
      <c r="J186" s="36"/>
      <c r="K186" s="36"/>
      <c r="L186" s="36"/>
      <c r="M186" s="36"/>
      <c r="N186" s="36"/>
      <c r="O186" s="36"/>
      <c r="P186" s="9"/>
      <c r="Q186" s="36"/>
      <c r="R186" s="9"/>
      <c r="S186" s="9"/>
      <c r="T186" s="39"/>
      <c r="U186" s="39"/>
      <c r="V186" s="36"/>
      <c r="W186" s="9"/>
      <c r="X186" s="9"/>
      <c r="Y186" s="9"/>
      <c r="Z186" s="9"/>
      <c r="AA186" s="9"/>
      <c r="AB186" s="9"/>
      <c r="AC186" s="9"/>
      <c r="AD186" s="37"/>
      <c r="AE186" s="38"/>
      <c r="AF186" s="39"/>
      <c r="AG186" s="39"/>
      <c r="AH186" s="9"/>
      <c r="AI186" s="9"/>
      <c r="AJ186" s="9"/>
      <c r="AK186" s="9"/>
      <c r="AL186" s="9"/>
      <c r="AM186" s="40"/>
      <c r="AN186" s="10" t="str">
        <f aca="false">IF(C186="","",C186&amp;"|"&amp;D186&amp;"|"&amp;E186&amp;"|"&amp;F186&amp;"|"&amp;Y186)</f>
        <v/>
      </c>
    </row>
    <row r="187" customFormat="false" ht="15" hidden="false" customHeight="false" outlineLevel="0" collapsed="false">
      <c r="A187" s="10" t="str">
        <f aca="false">IF(C187="","","RW-"&amp;IFERROR(VLOOKUP(C187,Lists!$M$4:$N$23,2,0),"??")&amp;"-H"&amp;TEXT(D187*1000,"0000")&amp;"-S"&amp;E187&amp;IF(F187="Y","-GW","")&amp;"-"&amp;X187)</f>
        <v/>
      </c>
      <c r="B187" s="10" t="str">
        <f aca="false">IF(C187="","",C187&amp;", H = "&amp;TEXT(D187,"0.0")&amp;" m, q = "&amp;E187&amp;" kPa"&amp;IF(F187="Y",", with GWT",""))</f>
        <v/>
      </c>
      <c r="C187" s="9"/>
      <c r="D187" s="39"/>
      <c r="E187" s="36"/>
      <c r="F187" s="9"/>
      <c r="G187" s="9"/>
      <c r="H187" s="36"/>
      <c r="I187" s="38"/>
      <c r="J187" s="36"/>
      <c r="K187" s="36"/>
      <c r="L187" s="36"/>
      <c r="M187" s="36"/>
      <c r="N187" s="36"/>
      <c r="O187" s="36"/>
      <c r="P187" s="9"/>
      <c r="Q187" s="36"/>
      <c r="R187" s="9"/>
      <c r="S187" s="9"/>
      <c r="T187" s="39"/>
      <c r="U187" s="39"/>
      <c r="V187" s="36"/>
      <c r="W187" s="9"/>
      <c r="X187" s="9"/>
      <c r="Y187" s="9"/>
      <c r="Z187" s="9"/>
      <c r="AA187" s="9"/>
      <c r="AB187" s="9"/>
      <c r="AC187" s="9"/>
      <c r="AD187" s="37"/>
      <c r="AE187" s="38"/>
      <c r="AF187" s="39"/>
      <c r="AG187" s="39"/>
      <c r="AH187" s="9"/>
      <c r="AI187" s="9"/>
      <c r="AJ187" s="9"/>
      <c r="AK187" s="9"/>
      <c r="AL187" s="9"/>
      <c r="AM187" s="40"/>
      <c r="AN187" s="10" t="str">
        <f aca="false">IF(C187="","",C187&amp;"|"&amp;D187&amp;"|"&amp;E187&amp;"|"&amp;F187&amp;"|"&amp;Y187)</f>
        <v/>
      </c>
    </row>
    <row r="188" customFormat="false" ht="15" hidden="false" customHeight="false" outlineLevel="0" collapsed="false">
      <c r="A188" s="10" t="str">
        <f aca="false">IF(C188="","","RW-"&amp;IFERROR(VLOOKUP(C188,Lists!$M$4:$N$23,2,0),"??")&amp;"-H"&amp;TEXT(D188*1000,"0000")&amp;"-S"&amp;E188&amp;IF(F188="Y","-GW","")&amp;"-"&amp;X188)</f>
        <v/>
      </c>
      <c r="B188" s="10" t="str">
        <f aca="false">IF(C188="","",C188&amp;", H = "&amp;TEXT(D188,"0.0")&amp;" m, q = "&amp;E188&amp;" kPa"&amp;IF(F188="Y",", with GWT",""))</f>
        <v/>
      </c>
      <c r="C188" s="9"/>
      <c r="D188" s="39"/>
      <c r="E188" s="36"/>
      <c r="F188" s="9"/>
      <c r="G188" s="9"/>
      <c r="H188" s="36"/>
      <c r="I188" s="38"/>
      <c r="J188" s="36"/>
      <c r="K188" s="36"/>
      <c r="L188" s="36"/>
      <c r="M188" s="36"/>
      <c r="N188" s="36"/>
      <c r="O188" s="36"/>
      <c r="P188" s="9"/>
      <c r="Q188" s="36"/>
      <c r="R188" s="9"/>
      <c r="S188" s="9"/>
      <c r="T188" s="39"/>
      <c r="U188" s="39"/>
      <c r="V188" s="36"/>
      <c r="W188" s="9"/>
      <c r="X188" s="9"/>
      <c r="Y188" s="9"/>
      <c r="Z188" s="9"/>
      <c r="AA188" s="9"/>
      <c r="AB188" s="9"/>
      <c r="AC188" s="9"/>
      <c r="AD188" s="37"/>
      <c r="AE188" s="38"/>
      <c r="AF188" s="39"/>
      <c r="AG188" s="39"/>
      <c r="AH188" s="9"/>
      <c r="AI188" s="9"/>
      <c r="AJ188" s="9"/>
      <c r="AK188" s="9"/>
      <c r="AL188" s="9"/>
      <c r="AM188" s="40"/>
      <c r="AN188" s="10" t="str">
        <f aca="false">IF(C188="","",C188&amp;"|"&amp;D188&amp;"|"&amp;E188&amp;"|"&amp;F188&amp;"|"&amp;Y188)</f>
        <v/>
      </c>
    </row>
    <row r="189" customFormat="false" ht="15" hidden="false" customHeight="false" outlineLevel="0" collapsed="false">
      <c r="A189" s="10" t="str">
        <f aca="false">IF(C189="","","RW-"&amp;IFERROR(VLOOKUP(C189,Lists!$M$4:$N$23,2,0),"??")&amp;"-H"&amp;TEXT(D189*1000,"0000")&amp;"-S"&amp;E189&amp;IF(F189="Y","-GW","")&amp;"-"&amp;X189)</f>
        <v/>
      </c>
      <c r="B189" s="10" t="str">
        <f aca="false">IF(C189="","",C189&amp;", H = "&amp;TEXT(D189,"0.0")&amp;" m, q = "&amp;E189&amp;" kPa"&amp;IF(F189="Y",", with GWT",""))</f>
        <v/>
      </c>
      <c r="C189" s="9"/>
      <c r="D189" s="39"/>
      <c r="E189" s="36"/>
      <c r="F189" s="9"/>
      <c r="G189" s="9"/>
      <c r="H189" s="36"/>
      <c r="I189" s="38"/>
      <c r="J189" s="36"/>
      <c r="K189" s="36"/>
      <c r="L189" s="36"/>
      <c r="M189" s="36"/>
      <c r="N189" s="36"/>
      <c r="O189" s="36"/>
      <c r="P189" s="9"/>
      <c r="Q189" s="36"/>
      <c r="R189" s="9"/>
      <c r="S189" s="9"/>
      <c r="T189" s="39"/>
      <c r="U189" s="39"/>
      <c r="V189" s="36"/>
      <c r="W189" s="9"/>
      <c r="X189" s="9"/>
      <c r="Y189" s="9"/>
      <c r="Z189" s="9"/>
      <c r="AA189" s="9"/>
      <c r="AB189" s="9"/>
      <c r="AC189" s="9"/>
      <c r="AD189" s="37"/>
      <c r="AE189" s="38"/>
      <c r="AF189" s="39"/>
      <c r="AG189" s="39"/>
      <c r="AH189" s="9"/>
      <c r="AI189" s="9"/>
      <c r="AJ189" s="9"/>
      <c r="AK189" s="9"/>
      <c r="AL189" s="9"/>
      <c r="AM189" s="40"/>
      <c r="AN189" s="10" t="str">
        <f aca="false">IF(C189="","",C189&amp;"|"&amp;D189&amp;"|"&amp;E189&amp;"|"&amp;F189&amp;"|"&amp;Y189)</f>
        <v/>
      </c>
    </row>
    <row r="190" customFormat="false" ht="15" hidden="false" customHeight="false" outlineLevel="0" collapsed="false">
      <c r="A190" s="10" t="str">
        <f aca="false">IF(C190="","","RW-"&amp;IFERROR(VLOOKUP(C190,Lists!$M$4:$N$23,2,0),"??")&amp;"-H"&amp;TEXT(D190*1000,"0000")&amp;"-S"&amp;E190&amp;IF(F190="Y","-GW","")&amp;"-"&amp;X190)</f>
        <v/>
      </c>
      <c r="B190" s="10" t="str">
        <f aca="false">IF(C190="","",C190&amp;", H = "&amp;TEXT(D190,"0.0")&amp;" m, q = "&amp;E190&amp;" kPa"&amp;IF(F190="Y",", with GWT",""))</f>
        <v/>
      </c>
      <c r="C190" s="9"/>
      <c r="D190" s="39"/>
      <c r="E190" s="36"/>
      <c r="F190" s="9"/>
      <c r="G190" s="9"/>
      <c r="H190" s="36"/>
      <c r="I190" s="38"/>
      <c r="J190" s="36"/>
      <c r="K190" s="36"/>
      <c r="L190" s="36"/>
      <c r="M190" s="36"/>
      <c r="N190" s="36"/>
      <c r="O190" s="36"/>
      <c r="P190" s="9"/>
      <c r="Q190" s="36"/>
      <c r="R190" s="9"/>
      <c r="S190" s="9"/>
      <c r="T190" s="39"/>
      <c r="U190" s="39"/>
      <c r="V190" s="36"/>
      <c r="W190" s="9"/>
      <c r="X190" s="9"/>
      <c r="Y190" s="9"/>
      <c r="Z190" s="9"/>
      <c r="AA190" s="9"/>
      <c r="AB190" s="9"/>
      <c r="AC190" s="9"/>
      <c r="AD190" s="37"/>
      <c r="AE190" s="38"/>
      <c r="AF190" s="39"/>
      <c r="AG190" s="39"/>
      <c r="AH190" s="9"/>
      <c r="AI190" s="9"/>
      <c r="AJ190" s="9"/>
      <c r="AK190" s="9"/>
      <c r="AL190" s="9"/>
      <c r="AM190" s="40"/>
      <c r="AN190" s="10" t="str">
        <f aca="false">IF(C190="","",C190&amp;"|"&amp;D190&amp;"|"&amp;E190&amp;"|"&amp;F190&amp;"|"&amp;Y190)</f>
        <v/>
      </c>
    </row>
    <row r="191" customFormat="false" ht="15" hidden="false" customHeight="false" outlineLevel="0" collapsed="false">
      <c r="A191" s="10" t="str">
        <f aca="false">IF(C191="","","RW-"&amp;IFERROR(VLOOKUP(C191,Lists!$M$4:$N$23,2,0),"??")&amp;"-H"&amp;TEXT(D191*1000,"0000")&amp;"-S"&amp;E191&amp;IF(F191="Y","-GW","")&amp;"-"&amp;X191)</f>
        <v/>
      </c>
      <c r="B191" s="10" t="str">
        <f aca="false">IF(C191="","",C191&amp;", H = "&amp;TEXT(D191,"0.0")&amp;" m, q = "&amp;E191&amp;" kPa"&amp;IF(F191="Y",", with GWT",""))</f>
        <v/>
      </c>
      <c r="C191" s="9"/>
      <c r="D191" s="39"/>
      <c r="E191" s="36"/>
      <c r="F191" s="9"/>
      <c r="G191" s="9"/>
      <c r="H191" s="36"/>
      <c r="I191" s="38"/>
      <c r="J191" s="36"/>
      <c r="K191" s="36"/>
      <c r="L191" s="36"/>
      <c r="M191" s="36"/>
      <c r="N191" s="36"/>
      <c r="O191" s="36"/>
      <c r="P191" s="9"/>
      <c r="Q191" s="36"/>
      <c r="R191" s="9"/>
      <c r="S191" s="9"/>
      <c r="T191" s="39"/>
      <c r="U191" s="39"/>
      <c r="V191" s="36"/>
      <c r="W191" s="9"/>
      <c r="X191" s="9"/>
      <c r="Y191" s="9"/>
      <c r="Z191" s="9"/>
      <c r="AA191" s="9"/>
      <c r="AB191" s="9"/>
      <c r="AC191" s="9"/>
      <c r="AD191" s="37"/>
      <c r="AE191" s="38"/>
      <c r="AF191" s="39"/>
      <c r="AG191" s="39"/>
      <c r="AH191" s="9"/>
      <c r="AI191" s="9"/>
      <c r="AJ191" s="9"/>
      <c r="AK191" s="9"/>
      <c r="AL191" s="9"/>
      <c r="AM191" s="40"/>
      <c r="AN191" s="10" t="str">
        <f aca="false">IF(C191="","",C191&amp;"|"&amp;D191&amp;"|"&amp;E191&amp;"|"&amp;F191&amp;"|"&amp;Y191)</f>
        <v/>
      </c>
    </row>
    <row r="192" customFormat="false" ht="15" hidden="false" customHeight="false" outlineLevel="0" collapsed="false">
      <c r="A192" s="10" t="str">
        <f aca="false">IF(C192="","","RW-"&amp;IFERROR(VLOOKUP(C192,Lists!$M$4:$N$23,2,0),"??")&amp;"-H"&amp;TEXT(D192*1000,"0000")&amp;"-S"&amp;E192&amp;IF(F192="Y","-GW","")&amp;"-"&amp;X192)</f>
        <v/>
      </c>
      <c r="B192" s="10" t="str">
        <f aca="false">IF(C192="","",C192&amp;", H = "&amp;TEXT(D192,"0.0")&amp;" m, q = "&amp;E192&amp;" kPa"&amp;IF(F192="Y",", with GWT",""))</f>
        <v/>
      </c>
      <c r="C192" s="9"/>
      <c r="D192" s="39"/>
      <c r="E192" s="36"/>
      <c r="F192" s="9"/>
      <c r="G192" s="9"/>
      <c r="H192" s="36"/>
      <c r="I192" s="38"/>
      <c r="J192" s="36"/>
      <c r="K192" s="36"/>
      <c r="L192" s="36"/>
      <c r="M192" s="36"/>
      <c r="N192" s="36"/>
      <c r="O192" s="36"/>
      <c r="P192" s="9"/>
      <c r="Q192" s="36"/>
      <c r="R192" s="9"/>
      <c r="S192" s="9"/>
      <c r="T192" s="39"/>
      <c r="U192" s="39"/>
      <c r="V192" s="36"/>
      <c r="W192" s="9"/>
      <c r="X192" s="9"/>
      <c r="Y192" s="9"/>
      <c r="Z192" s="9"/>
      <c r="AA192" s="9"/>
      <c r="AB192" s="9"/>
      <c r="AC192" s="9"/>
      <c r="AD192" s="37"/>
      <c r="AE192" s="38"/>
      <c r="AF192" s="39"/>
      <c r="AG192" s="39"/>
      <c r="AH192" s="9"/>
      <c r="AI192" s="9"/>
      <c r="AJ192" s="9"/>
      <c r="AK192" s="9"/>
      <c r="AL192" s="9"/>
      <c r="AM192" s="40"/>
      <c r="AN192" s="10" t="str">
        <f aca="false">IF(C192="","",C192&amp;"|"&amp;D192&amp;"|"&amp;E192&amp;"|"&amp;F192&amp;"|"&amp;Y192)</f>
        <v/>
      </c>
    </row>
    <row r="193" customFormat="false" ht="15" hidden="false" customHeight="false" outlineLevel="0" collapsed="false">
      <c r="A193" s="10" t="str">
        <f aca="false">IF(C193="","","RW-"&amp;IFERROR(VLOOKUP(C193,Lists!$M$4:$N$23,2,0),"??")&amp;"-H"&amp;TEXT(D193*1000,"0000")&amp;"-S"&amp;E193&amp;IF(F193="Y","-GW","")&amp;"-"&amp;X193)</f>
        <v/>
      </c>
      <c r="B193" s="10" t="str">
        <f aca="false">IF(C193="","",C193&amp;", H = "&amp;TEXT(D193,"0.0")&amp;" m, q = "&amp;E193&amp;" kPa"&amp;IF(F193="Y",", with GWT",""))</f>
        <v/>
      </c>
      <c r="C193" s="9"/>
      <c r="D193" s="39"/>
      <c r="E193" s="36"/>
      <c r="F193" s="9"/>
      <c r="G193" s="9"/>
      <c r="H193" s="36"/>
      <c r="I193" s="38"/>
      <c r="J193" s="36"/>
      <c r="K193" s="36"/>
      <c r="L193" s="36"/>
      <c r="M193" s="36"/>
      <c r="N193" s="36"/>
      <c r="O193" s="36"/>
      <c r="P193" s="9"/>
      <c r="Q193" s="36"/>
      <c r="R193" s="9"/>
      <c r="S193" s="9"/>
      <c r="T193" s="39"/>
      <c r="U193" s="39"/>
      <c r="V193" s="36"/>
      <c r="W193" s="9"/>
      <c r="X193" s="9"/>
      <c r="Y193" s="9"/>
      <c r="Z193" s="9"/>
      <c r="AA193" s="9"/>
      <c r="AB193" s="9"/>
      <c r="AC193" s="9"/>
      <c r="AD193" s="37"/>
      <c r="AE193" s="38"/>
      <c r="AF193" s="39"/>
      <c r="AG193" s="39"/>
      <c r="AH193" s="9"/>
      <c r="AI193" s="9"/>
      <c r="AJ193" s="9"/>
      <c r="AK193" s="9"/>
      <c r="AL193" s="9"/>
      <c r="AM193" s="40"/>
      <c r="AN193" s="10" t="str">
        <f aca="false">IF(C193="","",C193&amp;"|"&amp;D193&amp;"|"&amp;E193&amp;"|"&amp;F193&amp;"|"&amp;Y193)</f>
        <v/>
      </c>
    </row>
    <row r="194" customFormat="false" ht="15" hidden="false" customHeight="false" outlineLevel="0" collapsed="false">
      <c r="A194" s="10" t="str">
        <f aca="false">IF(C194="","","RW-"&amp;IFERROR(VLOOKUP(C194,Lists!$M$4:$N$23,2,0),"??")&amp;"-H"&amp;TEXT(D194*1000,"0000")&amp;"-S"&amp;E194&amp;IF(F194="Y","-GW","")&amp;"-"&amp;X194)</f>
        <v/>
      </c>
      <c r="B194" s="10" t="str">
        <f aca="false">IF(C194="","",C194&amp;", H = "&amp;TEXT(D194,"0.0")&amp;" m, q = "&amp;E194&amp;" kPa"&amp;IF(F194="Y",", with GWT",""))</f>
        <v/>
      </c>
      <c r="C194" s="9"/>
      <c r="D194" s="39"/>
      <c r="E194" s="36"/>
      <c r="F194" s="9"/>
      <c r="G194" s="9"/>
      <c r="H194" s="36"/>
      <c r="I194" s="38"/>
      <c r="J194" s="36"/>
      <c r="K194" s="36"/>
      <c r="L194" s="36"/>
      <c r="M194" s="36"/>
      <c r="N194" s="36"/>
      <c r="O194" s="36"/>
      <c r="P194" s="9"/>
      <c r="Q194" s="36"/>
      <c r="R194" s="9"/>
      <c r="S194" s="9"/>
      <c r="T194" s="39"/>
      <c r="U194" s="39"/>
      <c r="V194" s="36"/>
      <c r="W194" s="9"/>
      <c r="X194" s="9"/>
      <c r="Y194" s="9"/>
      <c r="Z194" s="9"/>
      <c r="AA194" s="9"/>
      <c r="AB194" s="9"/>
      <c r="AC194" s="9"/>
      <c r="AD194" s="37"/>
      <c r="AE194" s="38"/>
      <c r="AF194" s="39"/>
      <c r="AG194" s="39"/>
      <c r="AH194" s="9"/>
      <c r="AI194" s="9"/>
      <c r="AJ194" s="9"/>
      <c r="AK194" s="9"/>
      <c r="AL194" s="9"/>
      <c r="AM194" s="40"/>
      <c r="AN194" s="10" t="str">
        <f aca="false">IF(C194="","",C194&amp;"|"&amp;D194&amp;"|"&amp;E194&amp;"|"&amp;F194&amp;"|"&amp;Y194)</f>
        <v/>
      </c>
    </row>
    <row r="195" customFormat="false" ht="15" hidden="false" customHeight="false" outlineLevel="0" collapsed="false">
      <c r="A195" s="10" t="str">
        <f aca="false">IF(C195="","","RW-"&amp;IFERROR(VLOOKUP(C195,Lists!$M$4:$N$23,2,0),"??")&amp;"-H"&amp;TEXT(D195*1000,"0000")&amp;"-S"&amp;E195&amp;IF(F195="Y","-GW","")&amp;"-"&amp;X195)</f>
        <v/>
      </c>
      <c r="B195" s="10" t="str">
        <f aca="false">IF(C195="","",C195&amp;", H = "&amp;TEXT(D195,"0.0")&amp;" m, q = "&amp;E195&amp;" kPa"&amp;IF(F195="Y",", with GWT",""))</f>
        <v/>
      </c>
      <c r="C195" s="9"/>
      <c r="D195" s="39"/>
      <c r="E195" s="36"/>
      <c r="F195" s="9"/>
      <c r="G195" s="9"/>
      <c r="H195" s="36"/>
      <c r="I195" s="38"/>
      <c r="J195" s="36"/>
      <c r="K195" s="36"/>
      <c r="L195" s="36"/>
      <c r="M195" s="36"/>
      <c r="N195" s="36"/>
      <c r="O195" s="36"/>
      <c r="P195" s="9"/>
      <c r="Q195" s="36"/>
      <c r="R195" s="9"/>
      <c r="S195" s="9"/>
      <c r="T195" s="39"/>
      <c r="U195" s="39"/>
      <c r="V195" s="36"/>
      <c r="W195" s="9"/>
      <c r="X195" s="9"/>
      <c r="Y195" s="9"/>
      <c r="Z195" s="9"/>
      <c r="AA195" s="9"/>
      <c r="AB195" s="9"/>
      <c r="AC195" s="9"/>
      <c r="AD195" s="37"/>
      <c r="AE195" s="38"/>
      <c r="AF195" s="39"/>
      <c r="AG195" s="39"/>
      <c r="AH195" s="9"/>
      <c r="AI195" s="9"/>
      <c r="AJ195" s="9"/>
      <c r="AK195" s="9"/>
      <c r="AL195" s="9"/>
      <c r="AM195" s="40"/>
      <c r="AN195" s="10" t="str">
        <f aca="false">IF(C195="","",C195&amp;"|"&amp;D195&amp;"|"&amp;E195&amp;"|"&amp;F195&amp;"|"&amp;Y195)</f>
        <v/>
      </c>
    </row>
    <row r="196" customFormat="false" ht="15" hidden="false" customHeight="false" outlineLevel="0" collapsed="false">
      <c r="A196" s="10" t="str">
        <f aca="false">IF(C196="","","RW-"&amp;IFERROR(VLOOKUP(C196,Lists!$M$4:$N$23,2,0),"??")&amp;"-H"&amp;TEXT(D196*1000,"0000")&amp;"-S"&amp;E196&amp;IF(F196="Y","-GW","")&amp;"-"&amp;X196)</f>
        <v/>
      </c>
      <c r="B196" s="10" t="str">
        <f aca="false">IF(C196="","",C196&amp;", H = "&amp;TEXT(D196,"0.0")&amp;" m, q = "&amp;E196&amp;" kPa"&amp;IF(F196="Y",", with GWT",""))</f>
        <v/>
      </c>
      <c r="C196" s="9"/>
      <c r="D196" s="39"/>
      <c r="E196" s="36"/>
      <c r="F196" s="9"/>
      <c r="G196" s="9"/>
      <c r="H196" s="36"/>
      <c r="I196" s="38"/>
      <c r="J196" s="36"/>
      <c r="K196" s="36"/>
      <c r="L196" s="36"/>
      <c r="M196" s="36"/>
      <c r="N196" s="36"/>
      <c r="O196" s="36"/>
      <c r="P196" s="9"/>
      <c r="Q196" s="36"/>
      <c r="R196" s="9"/>
      <c r="S196" s="9"/>
      <c r="T196" s="39"/>
      <c r="U196" s="39"/>
      <c r="V196" s="36"/>
      <c r="W196" s="9"/>
      <c r="X196" s="9"/>
      <c r="Y196" s="9"/>
      <c r="Z196" s="9"/>
      <c r="AA196" s="9"/>
      <c r="AB196" s="9"/>
      <c r="AC196" s="9"/>
      <c r="AD196" s="37"/>
      <c r="AE196" s="38"/>
      <c r="AF196" s="39"/>
      <c r="AG196" s="39"/>
      <c r="AH196" s="9"/>
      <c r="AI196" s="9"/>
      <c r="AJ196" s="9"/>
      <c r="AK196" s="9"/>
      <c r="AL196" s="9"/>
      <c r="AM196" s="40"/>
      <c r="AN196" s="10" t="str">
        <f aca="false">IF(C196="","",C196&amp;"|"&amp;D196&amp;"|"&amp;E196&amp;"|"&amp;F196&amp;"|"&amp;Y196)</f>
        <v/>
      </c>
    </row>
    <row r="197" customFormat="false" ht="15" hidden="false" customHeight="false" outlineLevel="0" collapsed="false">
      <c r="A197" s="10" t="str">
        <f aca="false">IF(C197="","","RW-"&amp;IFERROR(VLOOKUP(C197,Lists!$M$4:$N$23,2,0),"??")&amp;"-H"&amp;TEXT(D197*1000,"0000")&amp;"-S"&amp;E197&amp;IF(F197="Y","-GW","")&amp;"-"&amp;X197)</f>
        <v/>
      </c>
      <c r="B197" s="10" t="str">
        <f aca="false">IF(C197="","",C197&amp;", H = "&amp;TEXT(D197,"0.0")&amp;" m, q = "&amp;E197&amp;" kPa"&amp;IF(F197="Y",", with GWT",""))</f>
        <v/>
      </c>
      <c r="C197" s="9"/>
      <c r="D197" s="39"/>
      <c r="E197" s="36"/>
      <c r="F197" s="9"/>
      <c r="G197" s="9"/>
      <c r="H197" s="36"/>
      <c r="I197" s="38"/>
      <c r="J197" s="36"/>
      <c r="K197" s="36"/>
      <c r="L197" s="36"/>
      <c r="M197" s="36"/>
      <c r="N197" s="36"/>
      <c r="O197" s="36"/>
      <c r="P197" s="9"/>
      <c r="Q197" s="36"/>
      <c r="R197" s="9"/>
      <c r="S197" s="9"/>
      <c r="T197" s="39"/>
      <c r="U197" s="39"/>
      <c r="V197" s="36"/>
      <c r="W197" s="9"/>
      <c r="X197" s="9"/>
      <c r="Y197" s="9"/>
      <c r="Z197" s="9"/>
      <c r="AA197" s="9"/>
      <c r="AB197" s="9"/>
      <c r="AC197" s="9"/>
      <c r="AD197" s="37"/>
      <c r="AE197" s="38"/>
      <c r="AF197" s="39"/>
      <c r="AG197" s="39"/>
      <c r="AH197" s="9"/>
      <c r="AI197" s="9"/>
      <c r="AJ197" s="9"/>
      <c r="AK197" s="9"/>
      <c r="AL197" s="9"/>
      <c r="AM197" s="40"/>
      <c r="AN197" s="10" t="str">
        <f aca="false">IF(C197="","",C197&amp;"|"&amp;D197&amp;"|"&amp;E197&amp;"|"&amp;F197&amp;"|"&amp;Y197)</f>
        <v/>
      </c>
    </row>
    <row r="198" customFormat="false" ht="15" hidden="false" customHeight="false" outlineLevel="0" collapsed="false">
      <c r="A198" s="10" t="str">
        <f aca="false">IF(C198="","","RW-"&amp;IFERROR(VLOOKUP(C198,Lists!$M$4:$N$23,2,0),"??")&amp;"-H"&amp;TEXT(D198*1000,"0000")&amp;"-S"&amp;E198&amp;IF(F198="Y","-GW","")&amp;"-"&amp;X198)</f>
        <v/>
      </c>
      <c r="B198" s="10" t="str">
        <f aca="false">IF(C198="","",C198&amp;", H = "&amp;TEXT(D198,"0.0")&amp;" m, q = "&amp;E198&amp;" kPa"&amp;IF(F198="Y",", with GWT",""))</f>
        <v/>
      </c>
      <c r="C198" s="9"/>
      <c r="D198" s="39"/>
      <c r="E198" s="36"/>
      <c r="F198" s="9"/>
      <c r="G198" s="9"/>
      <c r="H198" s="36"/>
      <c r="I198" s="38"/>
      <c r="J198" s="36"/>
      <c r="K198" s="36"/>
      <c r="L198" s="36"/>
      <c r="M198" s="36"/>
      <c r="N198" s="36"/>
      <c r="O198" s="36"/>
      <c r="P198" s="9"/>
      <c r="Q198" s="36"/>
      <c r="R198" s="9"/>
      <c r="S198" s="9"/>
      <c r="T198" s="39"/>
      <c r="U198" s="39"/>
      <c r="V198" s="36"/>
      <c r="W198" s="9"/>
      <c r="X198" s="9"/>
      <c r="Y198" s="9"/>
      <c r="Z198" s="9"/>
      <c r="AA198" s="9"/>
      <c r="AB198" s="9"/>
      <c r="AC198" s="9"/>
      <c r="AD198" s="37"/>
      <c r="AE198" s="38"/>
      <c r="AF198" s="39"/>
      <c r="AG198" s="39"/>
      <c r="AH198" s="9"/>
      <c r="AI198" s="9"/>
      <c r="AJ198" s="9"/>
      <c r="AK198" s="9"/>
      <c r="AL198" s="9"/>
      <c r="AM198" s="40"/>
      <c r="AN198" s="10" t="str">
        <f aca="false">IF(C198="","",C198&amp;"|"&amp;D198&amp;"|"&amp;E198&amp;"|"&amp;F198&amp;"|"&amp;Y198)</f>
        <v/>
      </c>
    </row>
    <row r="199" customFormat="false" ht="15" hidden="false" customHeight="false" outlineLevel="0" collapsed="false">
      <c r="A199" s="10" t="str">
        <f aca="false">IF(C199="","","RW-"&amp;IFERROR(VLOOKUP(C199,Lists!$M$4:$N$23,2,0),"??")&amp;"-H"&amp;TEXT(D199*1000,"0000")&amp;"-S"&amp;E199&amp;IF(F199="Y","-GW","")&amp;"-"&amp;X199)</f>
        <v/>
      </c>
      <c r="B199" s="10" t="str">
        <f aca="false">IF(C199="","",C199&amp;", H = "&amp;TEXT(D199,"0.0")&amp;" m, q = "&amp;E199&amp;" kPa"&amp;IF(F199="Y",", with GWT",""))</f>
        <v/>
      </c>
      <c r="C199" s="9"/>
      <c r="D199" s="39"/>
      <c r="E199" s="36"/>
      <c r="F199" s="9"/>
      <c r="G199" s="9"/>
      <c r="H199" s="36"/>
      <c r="I199" s="38"/>
      <c r="J199" s="36"/>
      <c r="K199" s="36"/>
      <c r="L199" s="36"/>
      <c r="M199" s="36"/>
      <c r="N199" s="36"/>
      <c r="O199" s="36"/>
      <c r="P199" s="9"/>
      <c r="Q199" s="36"/>
      <c r="R199" s="9"/>
      <c r="S199" s="9"/>
      <c r="T199" s="39"/>
      <c r="U199" s="39"/>
      <c r="V199" s="36"/>
      <c r="W199" s="9"/>
      <c r="X199" s="9"/>
      <c r="Y199" s="9"/>
      <c r="Z199" s="9"/>
      <c r="AA199" s="9"/>
      <c r="AB199" s="9"/>
      <c r="AC199" s="9"/>
      <c r="AD199" s="37"/>
      <c r="AE199" s="38"/>
      <c r="AF199" s="39"/>
      <c r="AG199" s="39"/>
      <c r="AH199" s="9"/>
      <c r="AI199" s="9"/>
      <c r="AJ199" s="9"/>
      <c r="AK199" s="9"/>
      <c r="AL199" s="9"/>
      <c r="AM199" s="40"/>
      <c r="AN199" s="10" t="str">
        <f aca="false">IF(C199="","",C199&amp;"|"&amp;D199&amp;"|"&amp;E199&amp;"|"&amp;F199&amp;"|"&amp;Y199)</f>
        <v/>
      </c>
    </row>
    <row r="200" customFormat="false" ht="15" hidden="false" customHeight="false" outlineLevel="0" collapsed="false">
      <c r="A200" s="10" t="str">
        <f aca="false">IF(C200="","","RW-"&amp;IFERROR(VLOOKUP(C200,Lists!$M$4:$N$23,2,0),"??")&amp;"-H"&amp;TEXT(D200*1000,"0000")&amp;"-S"&amp;E200&amp;IF(F200="Y","-GW","")&amp;"-"&amp;X200)</f>
        <v/>
      </c>
      <c r="B200" s="10" t="str">
        <f aca="false">IF(C200="","",C200&amp;", H = "&amp;TEXT(D200,"0.0")&amp;" m, q = "&amp;E200&amp;" kPa"&amp;IF(F200="Y",", with GWT",""))</f>
        <v/>
      </c>
      <c r="C200" s="9"/>
      <c r="D200" s="39"/>
      <c r="E200" s="36"/>
      <c r="F200" s="9"/>
      <c r="G200" s="9"/>
      <c r="H200" s="36"/>
      <c r="I200" s="38"/>
      <c r="J200" s="36"/>
      <c r="K200" s="36"/>
      <c r="L200" s="36"/>
      <c r="M200" s="36"/>
      <c r="N200" s="36"/>
      <c r="O200" s="36"/>
      <c r="P200" s="9"/>
      <c r="Q200" s="36"/>
      <c r="R200" s="9"/>
      <c r="S200" s="9"/>
      <c r="T200" s="39"/>
      <c r="U200" s="39"/>
      <c r="V200" s="36"/>
      <c r="W200" s="9"/>
      <c r="X200" s="9"/>
      <c r="Y200" s="9"/>
      <c r="Z200" s="9"/>
      <c r="AA200" s="9"/>
      <c r="AB200" s="9"/>
      <c r="AC200" s="9"/>
      <c r="AD200" s="37"/>
      <c r="AE200" s="38"/>
      <c r="AF200" s="39"/>
      <c r="AG200" s="39"/>
      <c r="AH200" s="9"/>
      <c r="AI200" s="9"/>
      <c r="AJ200" s="9"/>
      <c r="AK200" s="9"/>
      <c r="AL200" s="9"/>
      <c r="AM200" s="40"/>
      <c r="AN200" s="10" t="str">
        <f aca="false">IF(C200="","",C200&amp;"|"&amp;D200&amp;"|"&amp;E200&amp;"|"&amp;F200&amp;"|"&amp;Y200)</f>
        <v/>
      </c>
    </row>
    <row r="201" customFormat="false" ht="15" hidden="false" customHeight="false" outlineLevel="0" collapsed="false">
      <c r="A201" s="10" t="str">
        <f aca="false">IF(C201="","","RW-"&amp;IFERROR(VLOOKUP(C201,Lists!$M$4:$N$23,2,0),"??")&amp;"-H"&amp;TEXT(D201*1000,"0000")&amp;"-S"&amp;E201&amp;IF(F201="Y","-GW","")&amp;"-"&amp;X201)</f>
        <v/>
      </c>
      <c r="B201" s="10" t="str">
        <f aca="false">IF(C201="","",C201&amp;", H = "&amp;TEXT(D201,"0.0")&amp;" m, q = "&amp;E201&amp;" kPa"&amp;IF(F201="Y",", with GWT",""))</f>
        <v/>
      </c>
      <c r="C201" s="9"/>
      <c r="D201" s="39"/>
      <c r="E201" s="36"/>
      <c r="F201" s="9"/>
      <c r="G201" s="9"/>
      <c r="H201" s="36"/>
      <c r="I201" s="38"/>
      <c r="J201" s="36"/>
      <c r="K201" s="36"/>
      <c r="L201" s="36"/>
      <c r="M201" s="36"/>
      <c r="N201" s="36"/>
      <c r="O201" s="36"/>
      <c r="P201" s="9"/>
      <c r="Q201" s="36"/>
      <c r="R201" s="9"/>
      <c r="S201" s="9"/>
      <c r="T201" s="39"/>
      <c r="U201" s="39"/>
      <c r="V201" s="36"/>
      <c r="W201" s="9"/>
      <c r="X201" s="9"/>
      <c r="Y201" s="9"/>
      <c r="Z201" s="9"/>
      <c r="AA201" s="9"/>
      <c r="AB201" s="9"/>
      <c r="AC201" s="9"/>
      <c r="AD201" s="37"/>
      <c r="AE201" s="38"/>
      <c r="AF201" s="39"/>
      <c r="AG201" s="39"/>
      <c r="AH201" s="9"/>
      <c r="AI201" s="9"/>
      <c r="AJ201" s="9"/>
      <c r="AK201" s="9"/>
      <c r="AL201" s="9"/>
      <c r="AM201" s="40"/>
      <c r="AN201" s="10" t="str">
        <f aca="false">IF(C201="","",C201&amp;"|"&amp;D201&amp;"|"&amp;E201&amp;"|"&amp;F201&amp;"|"&amp;Y201)</f>
        <v/>
      </c>
    </row>
    <row r="202" customFormat="false" ht="15" hidden="false" customHeight="false" outlineLevel="0" collapsed="false">
      <c r="A202" s="10" t="str">
        <f aca="false">IF(C202="","","RW-"&amp;IFERROR(VLOOKUP(C202,Lists!$M$4:$N$23,2,0),"??")&amp;"-H"&amp;TEXT(D202*1000,"0000")&amp;"-S"&amp;E202&amp;IF(F202="Y","-GW","")&amp;"-"&amp;X202)</f>
        <v/>
      </c>
      <c r="B202" s="10" t="str">
        <f aca="false">IF(C202="","",C202&amp;", H = "&amp;TEXT(D202,"0.0")&amp;" m, q = "&amp;E202&amp;" kPa"&amp;IF(F202="Y",", with GWT",""))</f>
        <v/>
      </c>
      <c r="C202" s="9"/>
      <c r="D202" s="39"/>
      <c r="E202" s="36"/>
      <c r="F202" s="9"/>
      <c r="G202" s="9"/>
      <c r="H202" s="36"/>
      <c r="I202" s="38"/>
      <c r="J202" s="36"/>
      <c r="K202" s="36"/>
      <c r="L202" s="36"/>
      <c r="M202" s="36"/>
      <c r="N202" s="36"/>
      <c r="O202" s="36"/>
      <c r="P202" s="9"/>
      <c r="Q202" s="36"/>
      <c r="R202" s="9"/>
      <c r="S202" s="9"/>
      <c r="T202" s="39"/>
      <c r="U202" s="39"/>
      <c r="V202" s="36"/>
      <c r="W202" s="9"/>
      <c r="X202" s="9"/>
      <c r="Y202" s="9"/>
      <c r="Z202" s="9"/>
      <c r="AA202" s="9"/>
      <c r="AB202" s="9"/>
      <c r="AC202" s="9"/>
      <c r="AD202" s="37"/>
      <c r="AE202" s="38"/>
      <c r="AF202" s="39"/>
      <c r="AG202" s="39"/>
      <c r="AH202" s="9"/>
      <c r="AI202" s="9"/>
      <c r="AJ202" s="9"/>
      <c r="AK202" s="9"/>
      <c r="AL202" s="9"/>
      <c r="AM202" s="40"/>
      <c r="AN202" s="10" t="str">
        <f aca="false">IF(C202="","",C202&amp;"|"&amp;D202&amp;"|"&amp;E202&amp;"|"&amp;F202&amp;"|"&amp;Y202)</f>
        <v/>
      </c>
    </row>
    <row r="203" customFormat="false" ht="15" hidden="false" customHeight="false" outlineLevel="0" collapsed="false">
      <c r="A203" s="10" t="str">
        <f aca="false">IF(C203="","","RW-"&amp;IFERROR(VLOOKUP(C203,Lists!$M$4:$N$23,2,0),"??")&amp;"-H"&amp;TEXT(D203*1000,"0000")&amp;"-S"&amp;E203&amp;IF(F203="Y","-GW","")&amp;"-"&amp;X203)</f>
        <v/>
      </c>
      <c r="B203" s="10" t="str">
        <f aca="false">IF(C203="","",C203&amp;", H = "&amp;TEXT(D203,"0.0")&amp;" m, q = "&amp;E203&amp;" kPa"&amp;IF(F203="Y",", with GWT",""))</f>
        <v/>
      </c>
      <c r="C203" s="9"/>
      <c r="D203" s="39"/>
      <c r="E203" s="36"/>
      <c r="F203" s="9"/>
      <c r="G203" s="9"/>
      <c r="H203" s="36"/>
      <c r="I203" s="38"/>
      <c r="J203" s="36"/>
      <c r="K203" s="36"/>
      <c r="L203" s="36"/>
      <c r="M203" s="36"/>
      <c r="N203" s="36"/>
      <c r="O203" s="36"/>
      <c r="P203" s="9"/>
      <c r="Q203" s="36"/>
      <c r="R203" s="9"/>
      <c r="S203" s="9"/>
      <c r="T203" s="39"/>
      <c r="U203" s="39"/>
      <c r="V203" s="36"/>
      <c r="W203" s="9"/>
      <c r="X203" s="9"/>
      <c r="Y203" s="9"/>
      <c r="Z203" s="9"/>
      <c r="AA203" s="9"/>
      <c r="AB203" s="9"/>
      <c r="AC203" s="9"/>
      <c r="AD203" s="37"/>
      <c r="AE203" s="38"/>
      <c r="AF203" s="39"/>
      <c r="AG203" s="39"/>
      <c r="AH203" s="9"/>
      <c r="AI203" s="9"/>
      <c r="AJ203" s="9"/>
      <c r="AK203" s="9"/>
      <c r="AL203" s="9"/>
      <c r="AM203" s="40"/>
      <c r="AN203" s="10" t="str">
        <f aca="false">IF(C203="","",C203&amp;"|"&amp;D203&amp;"|"&amp;E203&amp;"|"&amp;F203&amp;"|"&amp;Y203)</f>
        <v/>
      </c>
    </row>
    <row r="204" customFormat="false" ht="15" hidden="false" customHeight="false" outlineLevel="0" collapsed="false">
      <c r="A204" s="10" t="str">
        <f aca="false">IF(C204="","","RW-"&amp;IFERROR(VLOOKUP(C204,Lists!$M$4:$N$23,2,0),"??")&amp;"-H"&amp;TEXT(D204*1000,"0000")&amp;"-S"&amp;E204&amp;IF(F204="Y","-GW","")&amp;"-"&amp;X204)</f>
        <v/>
      </c>
      <c r="B204" s="10" t="str">
        <f aca="false">IF(C204="","",C204&amp;", H = "&amp;TEXT(D204,"0.0")&amp;" m, q = "&amp;E204&amp;" kPa"&amp;IF(F204="Y",", with GWT",""))</f>
        <v/>
      </c>
      <c r="C204" s="9"/>
      <c r="D204" s="39"/>
      <c r="E204" s="36"/>
      <c r="F204" s="9"/>
      <c r="G204" s="9"/>
      <c r="H204" s="36"/>
      <c r="I204" s="38"/>
      <c r="J204" s="36"/>
      <c r="K204" s="36"/>
      <c r="L204" s="36"/>
      <c r="M204" s="36"/>
      <c r="N204" s="36"/>
      <c r="O204" s="36"/>
      <c r="P204" s="9"/>
      <c r="Q204" s="36"/>
      <c r="R204" s="9"/>
      <c r="S204" s="9"/>
      <c r="T204" s="39"/>
      <c r="U204" s="39"/>
      <c r="V204" s="36"/>
      <c r="W204" s="9"/>
      <c r="X204" s="9"/>
      <c r="Y204" s="9"/>
      <c r="Z204" s="9"/>
      <c r="AA204" s="9"/>
      <c r="AB204" s="9"/>
      <c r="AC204" s="9"/>
      <c r="AD204" s="37"/>
      <c r="AE204" s="38"/>
      <c r="AF204" s="39"/>
      <c r="AG204" s="39"/>
      <c r="AH204" s="9"/>
      <c r="AI204" s="9"/>
      <c r="AJ204" s="9"/>
      <c r="AK204" s="9"/>
      <c r="AL204" s="9"/>
      <c r="AM204" s="40"/>
      <c r="AN204" s="10" t="str">
        <f aca="false">IF(C204="","",C204&amp;"|"&amp;D204&amp;"|"&amp;E204&amp;"|"&amp;F204&amp;"|"&amp;Y204)</f>
        <v/>
      </c>
    </row>
    <row r="205" customFormat="false" ht="15" hidden="false" customHeight="false" outlineLevel="0" collapsed="false">
      <c r="A205" s="10" t="str">
        <f aca="false">IF(C205="","","RW-"&amp;IFERROR(VLOOKUP(C205,Lists!$M$4:$N$23,2,0),"??")&amp;"-H"&amp;TEXT(D205*1000,"0000")&amp;"-S"&amp;E205&amp;IF(F205="Y","-GW","")&amp;"-"&amp;X205)</f>
        <v/>
      </c>
      <c r="B205" s="10" t="str">
        <f aca="false">IF(C205="","",C205&amp;", H = "&amp;TEXT(D205,"0.0")&amp;" m, q = "&amp;E205&amp;" kPa"&amp;IF(F205="Y",", with GWT",""))</f>
        <v/>
      </c>
      <c r="C205" s="9"/>
      <c r="D205" s="39"/>
      <c r="E205" s="36"/>
      <c r="F205" s="9"/>
      <c r="G205" s="9"/>
      <c r="H205" s="36"/>
      <c r="I205" s="38"/>
      <c r="J205" s="36"/>
      <c r="K205" s="36"/>
      <c r="L205" s="36"/>
      <c r="M205" s="36"/>
      <c r="N205" s="36"/>
      <c r="O205" s="36"/>
      <c r="P205" s="9"/>
      <c r="Q205" s="36"/>
      <c r="R205" s="9"/>
      <c r="S205" s="9"/>
      <c r="T205" s="39"/>
      <c r="U205" s="39"/>
      <c r="V205" s="36"/>
      <c r="W205" s="9"/>
      <c r="X205" s="9"/>
      <c r="Y205" s="9"/>
      <c r="Z205" s="9"/>
      <c r="AA205" s="9"/>
      <c r="AB205" s="9"/>
      <c r="AC205" s="9"/>
      <c r="AD205" s="37"/>
      <c r="AE205" s="38"/>
      <c r="AF205" s="39"/>
      <c r="AG205" s="39"/>
      <c r="AH205" s="9"/>
      <c r="AI205" s="9"/>
      <c r="AJ205" s="9"/>
      <c r="AK205" s="9"/>
      <c r="AL205" s="9"/>
      <c r="AM205" s="40"/>
      <c r="AN205" s="10" t="str">
        <f aca="false">IF(C205="","",C205&amp;"|"&amp;D205&amp;"|"&amp;E205&amp;"|"&amp;F205&amp;"|"&amp;Y205)</f>
        <v/>
      </c>
    </row>
    <row r="206" customFormat="false" ht="15" hidden="false" customHeight="false" outlineLevel="0" collapsed="false">
      <c r="A206" s="10" t="str">
        <f aca="false">IF(C206="","","RW-"&amp;IFERROR(VLOOKUP(C206,Lists!$M$4:$N$23,2,0),"??")&amp;"-H"&amp;TEXT(D206*1000,"0000")&amp;"-S"&amp;E206&amp;IF(F206="Y","-GW","")&amp;"-"&amp;X206)</f>
        <v/>
      </c>
      <c r="B206" s="10" t="str">
        <f aca="false">IF(C206="","",C206&amp;", H = "&amp;TEXT(D206,"0.0")&amp;" m, q = "&amp;E206&amp;" kPa"&amp;IF(F206="Y",", with GWT",""))</f>
        <v/>
      </c>
      <c r="C206" s="9"/>
      <c r="D206" s="39"/>
      <c r="E206" s="36"/>
      <c r="F206" s="9"/>
      <c r="G206" s="9"/>
      <c r="H206" s="36"/>
      <c r="I206" s="38"/>
      <c r="J206" s="36"/>
      <c r="K206" s="36"/>
      <c r="L206" s="36"/>
      <c r="M206" s="36"/>
      <c r="N206" s="36"/>
      <c r="O206" s="36"/>
      <c r="P206" s="9"/>
      <c r="Q206" s="36"/>
      <c r="R206" s="9"/>
      <c r="S206" s="9"/>
      <c r="T206" s="39"/>
      <c r="U206" s="39"/>
      <c r="V206" s="36"/>
      <c r="W206" s="9"/>
      <c r="X206" s="9"/>
      <c r="Y206" s="9"/>
      <c r="Z206" s="9"/>
      <c r="AA206" s="9"/>
      <c r="AB206" s="9"/>
      <c r="AC206" s="9"/>
      <c r="AD206" s="37"/>
      <c r="AE206" s="38"/>
      <c r="AF206" s="39"/>
      <c r="AG206" s="39"/>
      <c r="AH206" s="9"/>
      <c r="AI206" s="9"/>
      <c r="AJ206" s="9"/>
      <c r="AK206" s="9"/>
      <c r="AL206" s="9"/>
      <c r="AM206" s="40"/>
      <c r="AN206" s="10" t="str">
        <f aca="false">IF(C206="","",C206&amp;"|"&amp;D206&amp;"|"&amp;E206&amp;"|"&amp;F206&amp;"|"&amp;Y206)</f>
        <v/>
      </c>
    </row>
    <row r="207" customFormat="false" ht="15" hidden="false" customHeight="false" outlineLevel="0" collapsed="false">
      <c r="A207" s="10" t="str">
        <f aca="false">IF(C207="","","RW-"&amp;IFERROR(VLOOKUP(C207,Lists!$M$4:$N$23,2,0),"??")&amp;"-H"&amp;TEXT(D207*1000,"0000")&amp;"-S"&amp;E207&amp;IF(F207="Y","-GW","")&amp;"-"&amp;X207)</f>
        <v/>
      </c>
      <c r="B207" s="10" t="str">
        <f aca="false">IF(C207="","",C207&amp;", H = "&amp;TEXT(D207,"0.0")&amp;" m, q = "&amp;E207&amp;" kPa"&amp;IF(F207="Y",", with GWT",""))</f>
        <v/>
      </c>
      <c r="C207" s="9"/>
      <c r="D207" s="39"/>
      <c r="E207" s="36"/>
      <c r="F207" s="9"/>
      <c r="G207" s="9"/>
      <c r="H207" s="36"/>
      <c r="I207" s="38"/>
      <c r="J207" s="36"/>
      <c r="K207" s="36"/>
      <c r="L207" s="36"/>
      <c r="M207" s="36"/>
      <c r="N207" s="36"/>
      <c r="O207" s="36"/>
      <c r="P207" s="9"/>
      <c r="Q207" s="36"/>
      <c r="R207" s="9"/>
      <c r="S207" s="9"/>
      <c r="T207" s="39"/>
      <c r="U207" s="39"/>
      <c r="V207" s="36"/>
      <c r="W207" s="9"/>
      <c r="X207" s="9"/>
      <c r="Y207" s="9"/>
      <c r="Z207" s="9"/>
      <c r="AA207" s="9"/>
      <c r="AB207" s="9"/>
      <c r="AC207" s="9"/>
      <c r="AD207" s="37"/>
      <c r="AE207" s="38"/>
      <c r="AF207" s="39"/>
      <c r="AG207" s="39"/>
      <c r="AH207" s="9"/>
      <c r="AI207" s="9"/>
      <c r="AJ207" s="9"/>
      <c r="AK207" s="9"/>
      <c r="AL207" s="9"/>
      <c r="AM207" s="40"/>
      <c r="AN207" s="10" t="str">
        <f aca="false">IF(C207="","",C207&amp;"|"&amp;D207&amp;"|"&amp;E207&amp;"|"&amp;F207&amp;"|"&amp;Y207)</f>
        <v/>
      </c>
    </row>
    <row r="208" customFormat="false" ht="15" hidden="false" customHeight="false" outlineLevel="0" collapsed="false">
      <c r="A208" s="10" t="str">
        <f aca="false">IF(C208="","","RW-"&amp;IFERROR(VLOOKUP(C208,Lists!$M$4:$N$23,2,0),"??")&amp;"-H"&amp;TEXT(D208*1000,"0000")&amp;"-S"&amp;E208&amp;IF(F208="Y","-GW","")&amp;"-"&amp;X208)</f>
        <v/>
      </c>
      <c r="B208" s="10" t="str">
        <f aca="false">IF(C208="","",C208&amp;", H = "&amp;TEXT(D208,"0.0")&amp;" m, q = "&amp;E208&amp;" kPa"&amp;IF(F208="Y",", with GWT",""))</f>
        <v/>
      </c>
      <c r="C208" s="9"/>
      <c r="D208" s="39"/>
      <c r="E208" s="36"/>
      <c r="F208" s="9"/>
      <c r="G208" s="9"/>
      <c r="H208" s="36"/>
      <c r="I208" s="38"/>
      <c r="J208" s="36"/>
      <c r="K208" s="36"/>
      <c r="L208" s="36"/>
      <c r="M208" s="36"/>
      <c r="N208" s="36"/>
      <c r="O208" s="36"/>
      <c r="P208" s="9"/>
      <c r="Q208" s="36"/>
      <c r="R208" s="9"/>
      <c r="S208" s="9"/>
      <c r="T208" s="39"/>
      <c r="U208" s="39"/>
      <c r="V208" s="36"/>
      <c r="W208" s="9"/>
      <c r="X208" s="9"/>
      <c r="Y208" s="9"/>
      <c r="Z208" s="9"/>
      <c r="AA208" s="9"/>
      <c r="AB208" s="9"/>
      <c r="AC208" s="9"/>
      <c r="AD208" s="37"/>
      <c r="AE208" s="38"/>
      <c r="AF208" s="39"/>
      <c r="AG208" s="39"/>
      <c r="AH208" s="9"/>
      <c r="AI208" s="9"/>
      <c r="AJ208" s="9"/>
      <c r="AK208" s="9"/>
      <c r="AL208" s="9"/>
      <c r="AM208" s="40"/>
      <c r="AN208" s="10" t="str">
        <f aca="false">IF(C208="","",C208&amp;"|"&amp;D208&amp;"|"&amp;E208&amp;"|"&amp;F208&amp;"|"&amp;Y208)</f>
        <v/>
      </c>
    </row>
    <row r="209" customFormat="false" ht="15" hidden="false" customHeight="false" outlineLevel="0" collapsed="false">
      <c r="A209" s="10" t="str">
        <f aca="false">IF(C209="","","RW-"&amp;IFERROR(VLOOKUP(C209,Lists!$M$4:$N$23,2,0),"??")&amp;"-H"&amp;TEXT(D209*1000,"0000")&amp;"-S"&amp;E209&amp;IF(F209="Y","-GW","")&amp;"-"&amp;X209)</f>
        <v/>
      </c>
      <c r="B209" s="10" t="str">
        <f aca="false">IF(C209="","",C209&amp;", H = "&amp;TEXT(D209,"0.0")&amp;" m, q = "&amp;E209&amp;" kPa"&amp;IF(F209="Y",", with GWT",""))</f>
        <v/>
      </c>
      <c r="C209" s="9"/>
      <c r="D209" s="39"/>
      <c r="E209" s="36"/>
      <c r="F209" s="9"/>
      <c r="G209" s="9"/>
      <c r="H209" s="36"/>
      <c r="I209" s="38"/>
      <c r="J209" s="36"/>
      <c r="K209" s="36"/>
      <c r="L209" s="36"/>
      <c r="M209" s="36"/>
      <c r="N209" s="36"/>
      <c r="O209" s="36"/>
      <c r="P209" s="9"/>
      <c r="Q209" s="36"/>
      <c r="R209" s="9"/>
      <c r="S209" s="9"/>
      <c r="T209" s="39"/>
      <c r="U209" s="39"/>
      <c r="V209" s="36"/>
      <c r="W209" s="9"/>
      <c r="X209" s="9"/>
      <c r="Y209" s="9"/>
      <c r="Z209" s="9"/>
      <c r="AA209" s="9"/>
      <c r="AB209" s="9"/>
      <c r="AC209" s="9"/>
      <c r="AD209" s="37"/>
      <c r="AE209" s="38"/>
      <c r="AF209" s="39"/>
      <c r="AG209" s="39"/>
      <c r="AH209" s="9"/>
      <c r="AI209" s="9"/>
      <c r="AJ209" s="9"/>
      <c r="AK209" s="9"/>
      <c r="AL209" s="9"/>
      <c r="AM209" s="40"/>
      <c r="AN209" s="10" t="str">
        <f aca="false">IF(C209="","",C209&amp;"|"&amp;D209&amp;"|"&amp;E209&amp;"|"&amp;F209&amp;"|"&amp;Y209)</f>
        <v/>
      </c>
    </row>
    <row r="210" customFormat="false" ht="15" hidden="false" customHeight="false" outlineLevel="0" collapsed="false">
      <c r="A210" s="10" t="str">
        <f aca="false">IF(C210="","","RW-"&amp;IFERROR(VLOOKUP(C210,Lists!$M$4:$N$23,2,0),"??")&amp;"-H"&amp;TEXT(D210*1000,"0000")&amp;"-S"&amp;E210&amp;IF(F210="Y","-GW","")&amp;"-"&amp;X210)</f>
        <v/>
      </c>
      <c r="B210" s="10" t="str">
        <f aca="false">IF(C210="","",C210&amp;", H = "&amp;TEXT(D210,"0.0")&amp;" m, q = "&amp;E210&amp;" kPa"&amp;IF(F210="Y",", with GWT",""))</f>
        <v/>
      </c>
      <c r="C210" s="9"/>
      <c r="D210" s="39"/>
      <c r="E210" s="36"/>
      <c r="F210" s="9"/>
      <c r="G210" s="9"/>
      <c r="H210" s="36"/>
      <c r="I210" s="38"/>
      <c r="J210" s="36"/>
      <c r="K210" s="36"/>
      <c r="L210" s="36"/>
      <c r="M210" s="36"/>
      <c r="N210" s="36"/>
      <c r="O210" s="36"/>
      <c r="P210" s="9"/>
      <c r="Q210" s="36"/>
      <c r="R210" s="9"/>
      <c r="S210" s="9"/>
      <c r="T210" s="39"/>
      <c r="U210" s="39"/>
      <c r="V210" s="36"/>
      <c r="W210" s="9"/>
      <c r="X210" s="9"/>
      <c r="Y210" s="9"/>
      <c r="Z210" s="9"/>
      <c r="AA210" s="9"/>
      <c r="AB210" s="9"/>
      <c r="AC210" s="9"/>
      <c r="AD210" s="37"/>
      <c r="AE210" s="38"/>
      <c r="AF210" s="39"/>
      <c r="AG210" s="39"/>
      <c r="AH210" s="9"/>
      <c r="AI210" s="9"/>
      <c r="AJ210" s="9"/>
      <c r="AK210" s="9"/>
      <c r="AL210" s="9"/>
      <c r="AM210" s="40"/>
      <c r="AN210" s="10" t="str">
        <f aca="false">IF(C210="","",C210&amp;"|"&amp;D210&amp;"|"&amp;E210&amp;"|"&amp;F210&amp;"|"&amp;Y210)</f>
        <v/>
      </c>
    </row>
    <row r="211" customFormat="false" ht="15" hidden="false" customHeight="false" outlineLevel="0" collapsed="false">
      <c r="A211" s="10" t="str">
        <f aca="false">IF(C211="","","RW-"&amp;IFERROR(VLOOKUP(C211,Lists!$M$4:$N$23,2,0),"??")&amp;"-H"&amp;TEXT(D211*1000,"0000")&amp;"-S"&amp;E211&amp;IF(F211="Y","-GW","")&amp;"-"&amp;X211)</f>
        <v/>
      </c>
      <c r="B211" s="10" t="str">
        <f aca="false">IF(C211="","",C211&amp;", H = "&amp;TEXT(D211,"0.0")&amp;" m, q = "&amp;E211&amp;" kPa"&amp;IF(F211="Y",", with GWT",""))</f>
        <v/>
      </c>
      <c r="C211" s="9"/>
      <c r="D211" s="39"/>
      <c r="E211" s="36"/>
      <c r="F211" s="9"/>
      <c r="G211" s="9"/>
      <c r="H211" s="36"/>
      <c r="I211" s="38"/>
      <c r="J211" s="36"/>
      <c r="K211" s="36"/>
      <c r="L211" s="36"/>
      <c r="M211" s="36"/>
      <c r="N211" s="36"/>
      <c r="O211" s="36"/>
      <c r="P211" s="9"/>
      <c r="Q211" s="36"/>
      <c r="R211" s="9"/>
      <c r="S211" s="9"/>
      <c r="T211" s="39"/>
      <c r="U211" s="39"/>
      <c r="V211" s="36"/>
      <c r="W211" s="9"/>
      <c r="X211" s="9"/>
      <c r="Y211" s="9"/>
      <c r="Z211" s="9"/>
      <c r="AA211" s="9"/>
      <c r="AB211" s="9"/>
      <c r="AC211" s="9"/>
      <c r="AD211" s="37"/>
      <c r="AE211" s="38"/>
      <c r="AF211" s="39"/>
      <c r="AG211" s="39"/>
      <c r="AH211" s="9"/>
      <c r="AI211" s="9"/>
      <c r="AJ211" s="9"/>
      <c r="AK211" s="9"/>
      <c r="AL211" s="9"/>
      <c r="AM211" s="40"/>
      <c r="AN211" s="10" t="str">
        <f aca="false">IF(C211="","",C211&amp;"|"&amp;D211&amp;"|"&amp;E211&amp;"|"&amp;F211&amp;"|"&amp;Y211)</f>
        <v/>
      </c>
    </row>
    <row r="212" customFormat="false" ht="15" hidden="false" customHeight="false" outlineLevel="0" collapsed="false">
      <c r="A212" s="10" t="str">
        <f aca="false">IF(C212="","","RW-"&amp;IFERROR(VLOOKUP(C212,Lists!$M$4:$N$23,2,0),"??")&amp;"-H"&amp;TEXT(D212*1000,"0000")&amp;"-S"&amp;E212&amp;IF(F212="Y","-GW","")&amp;"-"&amp;X212)</f>
        <v/>
      </c>
      <c r="B212" s="10" t="str">
        <f aca="false">IF(C212="","",C212&amp;", H = "&amp;TEXT(D212,"0.0")&amp;" m, q = "&amp;E212&amp;" kPa"&amp;IF(F212="Y",", with GWT",""))</f>
        <v/>
      </c>
      <c r="C212" s="9"/>
      <c r="D212" s="39"/>
      <c r="E212" s="36"/>
      <c r="F212" s="9"/>
      <c r="G212" s="9"/>
      <c r="H212" s="36"/>
      <c r="I212" s="38"/>
      <c r="J212" s="36"/>
      <c r="K212" s="36"/>
      <c r="L212" s="36"/>
      <c r="M212" s="36"/>
      <c r="N212" s="36"/>
      <c r="O212" s="36"/>
      <c r="P212" s="9"/>
      <c r="Q212" s="36"/>
      <c r="R212" s="9"/>
      <c r="S212" s="9"/>
      <c r="T212" s="39"/>
      <c r="U212" s="39"/>
      <c r="V212" s="36"/>
      <c r="W212" s="9"/>
      <c r="X212" s="9"/>
      <c r="Y212" s="9"/>
      <c r="Z212" s="9"/>
      <c r="AA212" s="9"/>
      <c r="AB212" s="9"/>
      <c r="AC212" s="9"/>
      <c r="AD212" s="37"/>
      <c r="AE212" s="38"/>
      <c r="AF212" s="39"/>
      <c r="AG212" s="39"/>
      <c r="AH212" s="9"/>
      <c r="AI212" s="9"/>
      <c r="AJ212" s="9"/>
      <c r="AK212" s="9"/>
      <c r="AL212" s="9"/>
      <c r="AM212" s="40"/>
      <c r="AN212" s="10" t="str">
        <f aca="false">IF(C212="","",C212&amp;"|"&amp;D212&amp;"|"&amp;E212&amp;"|"&amp;F212&amp;"|"&amp;Y212)</f>
        <v/>
      </c>
    </row>
    <row r="213" customFormat="false" ht="15" hidden="false" customHeight="false" outlineLevel="0" collapsed="false">
      <c r="A213" s="10" t="str">
        <f aca="false">IF(C213="","","RW-"&amp;IFERROR(VLOOKUP(C213,Lists!$M$4:$N$23,2,0),"??")&amp;"-H"&amp;TEXT(D213*1000,"0000")&amp;"-S"&amp;E213&amp;IF(F213="Y","-GW","")&amp;"-"&amp;X213)</f>
        <v/>
      </c>
      <c r="B213" s="10" t="str">
        <f aca="false">IF(C213="","",C213&amp;", H = "&amp;TEXT(D213,"0.0")&amp;" m, q = "&amp;E213&amp;" kPa"&amp;IF(F213="Y",", with GWT",""))</f>
        <v/>
      </c>
      <c r="C213" s="9"/>
      <c r="D213" s="39"/>
      <c r="E213" s="36"/>
      <c r="F213" s="9"/>
      <c r="G213" s="9"/>
      <c r="H213" s="36"/>
      <c r="I213" s="38"/>
      <c r="J213" s="36"/>
      <c r="K213" s="36"/>
      <c r="L213" s="36"/>
      <c r="M213" s="36"/>
      <c r="N213" s="36"/>
      <c r="O213" s="36"/>
      <c r="P213" s="9"/>
      <c r="Q213" s="36"/>
      <c r="R213" s="9"/>
      <c r="S213" s="9"/>
      <c r="T213" s="39"/>
      <c r="U213" s="39"/>
      <c r="V213" s="36"/>
      <c r="W213" s="9"/>
      <c r="X213" s="9"/>
      <c r="Y213" s="9"/>
      <c r="Z213" s="9"/>
      <c r="AA213" s="9"/>
      <c r="AB213" s="9"/>
      <c r="AC213" s="9"/>
      <c r="AD213" s="37"/>
      <c r="AE213" s="38"/>
      <c r="AF213" s="39"/>
      <c r="AG213" s="39"/>
      <c r="AH213" s="9"/>
      <c r="AI213" s="9"/>
      <c r="AJ213" s="9"/>
      <c r="AK213" s="9"/>
      <c r="AL213" s="9"/>
      <c r="AM213" s="40"/>
      <c r="AN213" s="10" t="str">
        <f aca="false">IF(C213="","",C213&amp;"|"&amp;D213&amp;"|"&amp;E213&amp;"|"&amp;F213&amp;"|"&amp;Y213)</f>
        <v/>
      </c>
    </row>
    <row r="214" customFormat="false" ht="15" hidden="false" customHeight="false" outlineLevel="0" collapsed="false">
      <c r="A214" s="10" t="str">
        <f aca="false">IF(C214="","","RW-"&amp;IFERROR(VLOOKUP(C214,Lists!$M$4:$N$23,2,0),"??")&amp;"-H"&amp;TEXT(D214*1000,"0000")&amp;"-S"&amp;E214&amp;IF(F214="Y","-GW","")&amp;"-"&amp;X214)</f>
        <v/>
      </c>
      <c r="B214" s="10" t="str">
        <f aca="false">IF(C214="","",C214&amp;", H = "&amp;TEXT(D214,"0.0")&amp;" m, q = "&amp;E214&amp;" kPa"&amp;IF(F214="Y",", with GWT",""))</f>
        <v/>
      </c>
      <c r="C214" s="9"/>
      <c r="D214" s="39"/>
      <c r="E214" s="36"/>
      <c r="F214" s="9"/>
      <c r="G214" s="9"/>
      <c r="H214" s="36"/>
      <c r="I214" s="38"/>
      <c r="J214" s="36"/>
      <c r="K214" s="36"/>
      <c r="L214" s="36"/>
      <c r="M214" s="36"/>
      <c r="N214" s="36"/>
      <c r="O214" s="36"/>
      <c r="P214" s="9"/>
      <c r="Q214" s="36"/>
      <c r="R214" s="9"/>
      <c r="S214" s="9"/>
      <c r="T214" s="39"/>
      <c r="U214" s="39"/>
      <c r="V214" s="36"/>
      <c r="W214" s="9"/>
      <c r="X214" s="9"/>
      <c r="Y214" s="9"/>
      <c r="Z214" s="9"/>
      <c r="AA214" s="9"/>
      <c r="AB214" s="9"/>
      <c r="AC214" s="9"/>
      <c r="AD214" s="37"/>
      <c r="AE214" s="38"/>
      <c r="AF214" s="39"/>
      <c r="AG214" s="39"/>
      <c r="AH214" s="9"/>
      <c r="AI214" s="9"/>
      <c r="AJ214" s="9"/>
      <c r="AK214" s="9"/>
      <c r="AL214" s="9"/>
      <c r="AM214" s="40"/>
      <c r="AN214" s="10" t="str">
        <f aca="false">IF(C214="","",C214&amp;"|"&amp;D214&amp;"|"&amp;E214&amp;"|"&amp;F214&amp;"|"&amp;Y214)</f>
        <v/>
      </c>
    </row>
    <row r="215" customFormat="false" ht="15" hidden="false" customHeight="false" outlineLevel="0" collapsed="false">
      <c r="A215" s="10" t="str">
        <f aca="false">IF(C215="","","RW-"&amp;IFERROR(VLOOKUP(C215,Lists!$M$4:$N$23,2,0),"??")&amp;"-H"&amp;TEXT(D215*1000,"0000")&amp;"-S"&amp;E215&amp;IF(F215="Y","-GW","")&amp;"-"&amp;X215)</f>
        <v/>
      </c>
      <c r="B215" s="10" t="str">
        <f aca="false">IF(C215="","",C215&amp;", H = "&amp;TEXT(D215,"0.0")&amp;" m, q = "&amp;E215&amp;" kPa"&amp;IF(F215="Y",", with GWT",""))</f>
        <v/>
      </c>
      <c r="C215" s="9"/>
      <c r="D215" s="39"/>
      <c r="E215" s="36"/>
      <c r="F215" s="9"/>
      <c r="G215" s="9"/>
      <c r="H215" s="36"/>
      <c r="I215" s="38"/>
      <c r="J215" s="36"/>
      <c r="K215" s="36"/>
      <c r="L215" s="36"/>
      <c r="M215" s="36"/>
      <c r="N215" s="36"/>
      <c r="O215" s="36"/>
      <c r="P215" s="9"/>
      <c r="Q215" s="36"/>
      <c r="R215" s="9"/>
      <c r="S215" s="9"/>
      <c r="T215" s="39"/>
      <c r="U215" s="39"/>
      <c r="V215" s="36"/>
      <c r="W215" s="9"/>
      <c r="X215" s="9"/>
      <c r="Y215" s="9"/>
      <c r="Z215" s="9"/>
      <c r="AA215" s="9"/>
      <c r="AB215" s="9"/>
      <c r="AC215" s="9"/>
      <c r="AD215" s="37"/>
      <c r="AE215" s="38"/>
      <c r="AF215" s="39"/>
      <c r="AG215" s="39"/>
      <c r="AH215" s="9"/>
      <c r="AI215" s="9"/>
      <c r="AJ215" s="9"/>
      <c r="AK215" s="9"/>
      <c r="AL215" s="9"/>
      <c r="AM215" s="40"/>
      <c r="AN215" s="10" t="str">
        <f aca="false">IF(C215="","",C215&amp;"|"&amp;D215&amp;"|"&amp;E215&amp;"|"&amp;F215&amp;"|"&amp;Y215)</f>
        <v/>
      </c>
    </row>
    <row r="216" customFormat="false" ht="15" hidden="false" customHeight="false" outlineLevel="0" collapsed="false">
      <c r="A216" s="10" t="str">
        <f aca="false">IF(C216="","","RW-"&amp;IFERROR(VLOOKUP(C216,Lists!$M$4:$N$23,2,0),"??")&amp;"-H"&amp;TEXT(D216*1000,"0000")&amp;"-S"&amp;E216&amp;IF(F216="Y","-GW","")&amp;"-"&amp;X216)</f>
        <v/>
      </c>
      <c r="B216" s="10" t="str">
        <f aca="false">IF(C216="","",C216&amp;", H = "&amp;TEXT(D216,"0.0")&amp;" m, q = "&amp;E216&amp;" kPa"&amp;IF(F216="Y",", with GWT",""))</f>
        <v/>
      </c>
      <c r="C216" s="9"/>
      <c r="D216" s="39"/>
      <c r="E216" s="36"/>
      <c r="F216" s="9"/>
      <c r="G216" s="9"/>
      <c r="H216" s="36"/>
      <c r="I216" s="38"/>
      <c r="J216" s="36"/>
      <c r="K216" s="36"/>
      <c r="L216" s="36"/>
      <c r="M216" s="36"/>
      <c r="N216" s="36"/>
      <c r="O216" s="36"/>
      <c r="P216" s="9"/>
      <c r="Q216" s="36"/>
      <c r="R216" s="9"/>
      <c r="S216" s="9"/>
      <c r="T216" s="39"/>
      <c r="U216" s="39"/>
      <c r="V216" s="36"/>
      <c r="W216" s="9"/>
      <c r="X216" s="9"/>
      <c r="Y216" s="9"/>
      <c r="Z216" s="9"/>
      <c r="AA216" s="9"/>
      <c r="AB216" s="9"/>
      <c r="AC216" s="9"/>
      <c r="AD216" s="37"/>
      <c r="AE216" s="38"/>
      <c r="AF216" s="39"/>
      <c r="AG216" s="39"/>
      <c r="AH216" s="9"/>
      <c r="AI216" s="9"/>
      <c r="AJ216" s="9"/>
      <c r="AK216" s="9"/>
      <c r="AL216" s="9"/>
      <c r="AM216" s="40"/>
      <c r="AN216" s="10" t="str">
        <f aca="false">IF(C216="","",C216&amp;"|"&amp;D216&amp;"|"&amp;E216&amp;"|"&amp;F216&amp;"|"&amp;Y216)</f>
        <v/>
      </c>
    </row>
    <row r="217" customFormat="false" ht="15" hidden="false" customHeight="false" outlineLevel="0" collapsed="false">
      <c r="A217" s="10" t="str">
        <f aca="false">IF(C217="","","RW-"&amp;IFERROR(VLOOKUP(C217,Lists!$M$4:$N$23,2,0),"??")&amp;"-H"&amp;TEXT(D217*1000,"0000")&amp;"-S"&amp;E217&amp;IF(F217="Y","-GW","")&amp;"-"&amp;X217)</f>
        <v/>
      </c>
      <c r="B217" s="10" t="str">
        <f aca="false">IF(C217="","",C217&amp;", H = "&amp;TEXT(D217,"0.0")&amp;" m, q = "&amp;E217&amp;" kPa"&amp;IF(F217="Y",", with GWT",""))</f>
        <v/>
      </c>
      <c r="C217" s="9"/>
      <c r="D217" s="39"/>
      <c r="E217" s="36"/>
      <c r="F217" s="9"/>
      <c r="G217" s="9"/>
      <c r="H217" s="36"/>
      <c r="I217" s="38"/>
      <c r="J217" s="36"/>
      <c r="K217" s="36"/>
      <c r="L217" s="36"/>
      <c r="M217" s="36"/>
      <c r="N217" s="36"/>
      <c r="O217" s="36"/>
      <c r="P217" s="9"/>
      <c r="Q217" s="36"/>
      <c r="R217" s="9"/>
      <c r="S217" s="9"/>
      <c r="T217" s="39"/>
      <c r="U217" s="39"/>
      <c r="V217" s="36"/>
      <c r="W217" s="9"/>
      <c r="X217" s="9"/>
      <c r="Y217" s="9"/>
      <c r="Z217" s="9"/>
      <c r="AA217" s="9"/>
      <c r="AB217" s="9"/>
      <c r="AC217" s="9"/>
      <c r="AD217" s="37"/>
      <c r="AE217" s="38"/>
      <c r="AF217" s="39"/>
      <c r="AG217" s="39"/>
      <c r="AH217" s="9"/>
      <c r="AI217" s="9"/>
      <c r="AJ217" s="9"/>
      <c r="AK217" s="9"/>
      <c r="AL217" s="9"/>
      <c r="AM217" s="40"/>
      <c r="AN217" s="10" t="str">
        <f aca="false">IF(C217="","",C217&amp;"|"&amp;D217&amp;"|"&amp;E217&amp;"|"&amp;F217&amp;"|"&amp;Y217)</f>
        <v/>
      </c>
    </row>
    <row r="218" customFormat="false" ht="15" hidden="false" customHeight="false" outlineLevel="0" collapsed="false">
      <c r="A218" s="10" t="str">
        <f aca="false">IF(C218="","","RW-"&amp;IFERROR(VLOOKUP(C218,Lists!$M$4:$N$23,2,0),"??")&amp;"-H"&amp;TEXT(D218*1000,"0000")&amp;"-S"&amp;E218&amp;IF(F218="Y","-GW","")&amp;"-"&amp;X218)</f>
        <v/>
      </c>
      <c r="B218" s="10" t="str">
        <f aca="false">IF(C218="","",C218&amp;", H = "&amp;TEXT(D218,"0.0")&amp;" m, q = "&amp;E218&amp;" kPa"&amp;IF(F218="Y",", with GWT",""))</f>
        <v/>
      </c>
      <c r="C218" s="9"/>
      <c r="D218" s="39"/>
      <c r="E218" s="36"/>
      <c r="F218" s="9"/>
      <c r="G218" s="9"/>
      <c r="H218" s="36"/>
      <c r="I218" s="38"/>
      <c r="J218" s="36"/>
      <c r="K218" s="36"/>
      <c r="L218" s="36"/>
      <c r="M218" s="36"/>
      <c r="N218" s="36"/>
      <c r="O218" s="36"/>
      <c r="P218" s="9"/>
      <c r="Q218" s="36"/>
      <c r="R218" s="9"/>
      <c r="S218" s="9"/>
      <c r="T218" s="39"/>
      <c r="U218" s="39"/>
      <c r="V218" s="36"/>
      <c r="W218" s="9"/>
      <c r="X218" s="9"/>
      <c r="Y218" s="9"/>
      <c r="Z218" s="9"/>
      <c r="AA218" s="9"/>
      <c r="AB218" s="9"/>
      <c r="AC218" s="9"/>
      <c r="AD218" s="37"/>
      <c r="AE218" s="38"/>
      <c r="AF218" s="39"/>
      <c r="AG218" s="39"/>
      <c r="AH218" s="9"/>
      <c r="AI218" s="9"/>
      <c r="AJ218" s="9"/>
      <c r="AK218" s="9"/>
      <c r="AL218" s="9"/>
      <c r="AM218" s="40"/>
      <c r="AN218" s="10" t="str">
        <f aca="false">IF(C218="","",C218&amp;"|"&amp;D218&amp;"|"&amp;E218&amp;"|"&amp;F218&amp;"|"&amp;Y218)</f>
        <v/>
      </c>
    </row>
    <row r="219" customFormat="false" ht="15" hidden="false" customHeight="false" outlineLevel="0" collapsed="false">
      <c r="A219" s="10" t="str">
        <f aca="false">IF(C219="","","RW-"&amp;IFERROR(VLOOKUP(C219,Lists!$M$4:$N$23,2,0),"??")&amp;"-H"&amp;TEXT(D219*1000,"0000")&amp;"-S"&amp;E219&amp;IF(F219="Y","-GW","")&amp;"-"&amp;X219)</f>
        <v/>
      </c>
      <c r="B219" s="10" t="str">
        <f aca="false">IF(C219="","",C219&amp;", H = "&amp;TEXT(D219,"0.0")&amp;" m, q = "&amp;E219&amp;" kPa"&amp;IF(F219="Y",", with GWT",""))</f>
        <v/>
      </c>
      <c r="C219" s="9"/>
      <c r="D219" s="39"/>
      <c r="E219" s="36"/>
      <c r="F219" s="9"/>
      <c r="G219" s="9"/>
      <c r="H219" s="36"/>
      <c r="I219" s="38"/>
      <c r="J219" s="36"/>
      <c r="K219" s="36"/>
      <c r="L219" s="36"/>
      <c r="M219" s="36"/>
      <c r="N219" s="36"/>
      <c r="O219" s="36"/>
      <c r="P219" s="9"/>
      <c r="Q219" s="36"/>
      <c r="R219" s="9"/>
      <c r="S219" s="9"/>
      <c r="T219" s="39"/>
      <c r="U219" s="39"/>
      <c r="V219" s="36"/>
      <c r="W219" s="9"/>
      <c r="X219" s="9"/>
      <c r="Y219" s="9"/>
      <c r="Z219" s="9"/>
      <c r="AA219" s="9"/>
      <c r="AB219" s="9"/>
      <c r="AC219" s="9"/>
      <c r="AD219" s="37"/>
      <c r="AE219" s="38"/>
      <c r="AF219" s="39"/>
      <c r="AG219" s="39"/>
      <c r="AH219" s="9"/>
      <c r="AI219" s="9"/>
      <c r="AJ219" s="9"/>
      <c r="AK219" s="9"/>
      <c r="AL219" s="9"/>
      <c r="AM219" s="40"/>
      <c r="AN219" s="10" t="str">
        <f aca="false">IF(C219="","",C219&amp;"|"&amp;D219&amp;"|"&amp;E219&amp;"|"&amp;F219&amp;"|"&amp;Y219)</f>
        <v/>
      </c>
    </row>
    <row r="220" customFormat="false" ht="15" hidden="false" customHeight="false" outlineLevel="0" collapsed="false">
      <c r="A220" s="10" t="str">
        <f aca="false">IF(C220="","","RW-"&amp;IFERROR(VLOOKUP(C220,Lists!$M$4:$N$23,2,0),"??")&amp;"-H"&amp;TEXT(D220*1000,"0000")&amp;"-S"&amp;E220&amp;IF(F220="Y","-GW","")&amp;"-"&amp;X220)</f>
        <v/>
      </c>
      <c r="B220" s="10" t="str">
        <f aca="false">IF(C220="","",C220&amp;", H = "&amp;TEXT(D220,"0.0")&amp;" m, q = "&amp;E220&amp;" kPa"&amp;IF(F220="Y",", with GWT",""))</f>
        <v/>
      </c>
      <c r="C220" s="9"/>
      <c r="D220" s="39"/>
      <c r="E220" s="36"/>
      <c r="F220" s="9"/>
      <c r="G220" s="9"/>
      <c r="H220" s="36"/>
      <c r="I220" s="38"/>
      <c r="J220" s="36"/>
      <c r="K220" s="36"/>
      <c r="L220" s="36"/>
      <c r="M220" s="36"/>
      <c r="N220" s="36"/>
      <c r="O220" s="36"/>
      <c r="P220" s="9"/>
      <c r="Q220" s="36"/>
      <c r="R220" s="9"/>
      <c r="S220" s="9"/>
      <c r="T220" s="39"/>
      <c r="U220" s="39"/>
      <c r="V220" s="36"/>
      <c r="W220" s="9"/>
      <c r="X220" s="9"/>
      <c r="Y220" s="9"/>
      <c r="Z220" s="9"/>
      <c r="AA220" s="9"/>
      <c r="AB220" s="9"/>
      <c r="AC220" s="9"/>
      <c r="AD220" s="37"/>
      <c r="AE220" s="38"/>
      <c r="AF220" s="39"/>
      <c r="AG220" s="39"/>
      <c r="AH220" s="9"/>
      <c r="AI220" s="9"/>
      <c r="AJ220" s="9"/>
      <c r="AK220" s="9"/>
      <c r="AL220" s="9"/>
      <c r="AM220" s="40"/>
      <c r="AN220" s="10" t="str">
        <f aca="false">IF(C220="","",C220&amp;"|"&amp;D220&amp;"|"&amp;E220&amp;"|"&amp;F220&amp;"|"&amp;Y220)</f>
        <v/>
      </c>
    </row>
    <row r="221" customFormat="false" ht="15" hidden="false" customHeight="false" outlineLevel="0" collapsed="false">
      <c r="A221" s="10" t="str">
        <f aca="false">IF(C221="","","RW-"&amp;IFERROR(VLOOKUP(C221,Lists!$M$4:$N$23,2,0),"??")&amp;"-H"&amp;TEXT(D221*1000,"0000")&amp;"-S"&amp;E221&amp;IF(F221="Y","-GW","")&amp;"-"&amp;X221)</f>
        <v/>
      </c>
      <c r="B221" s="10" t="str">
        <f aca="false">IF(C221="","",C221&amp;", H = "&amp;TEXT(D221,"0.0")&amp;" m, q = "&amp;E221&amp;" kPa"&amp;IF(F221="Y",", with GWT",""))</f>
        <v/>
      </c>
      <c r="C221" s="9"/>
      <c r="D221" s="39"/>
      <c r="E221" s="36"/>
      <c r="F221" s="9"/>
      <c r="G221" s="9"/>
      <c r="H221" s="36"/>
      <c r="I221" s="38"/>
      <c r="J221" s="36"/>
      <c r="K221" s="36"/>
      <c r="L221" s="36"/>
      <c r="M221" s="36"/>
      <c r="N221" s="36"/>
      <c r="O221" s="36"/>
      <c r="P221" s="9"/>
      <c r="Q221" s="36"/>
      <c r="R221" s="9"/>
      <c r="S221" s="9"/>
      <c r="T221" s="39"/>
      <c r="U221" s="39"/>
      <c r="V221" s="36"/>
      <c r="W221" s="9"/>
      <c r="X221" s="9"/>
      <c r="Y221" s="9"/>
      <c r="Z221" s="9"/>
      <c r="AA221" s="9"/>
      <c r="AB221" s="9"/>
      <c r="AC221" s="9"/>
      <c r="AD221" s="37"/>
      <c r="AE221" s="38"/>
      <c r="AF221" s="39"/>
      <c r="AG221" s="39"/>
      <c r="AH221" s="9"/>
      <c r="AI221" s="9"/>
      <c r="AJ221" s="9"/>
      <c r="AK221" s="9"/>
      <c r="AL221" s="9"/>
      <c r="AM221" s="40"/>
      <c r="AN221" s="10" t="str">
        <f aca="false">IF(C221="","",C221&amp;"|"&amp;D221&amp;"|"&amp;E221&amp;"|"&amp;F221&amp;"|"&amp;Y221)</f>
        <v/>
      </c>
    </row>
    <row r="222" customFormat="false" ht="15" hidden="false" customHeight="false" outlineLevel="0" collapsed="false">
      <c r="A222" s="10" t="str">
        <f aca="false">IF(C222="","","RW-"&amp;IFERROR(VLOOKUP(C222,Lists!$M$4:$N$23,2,0),"??")&amp;"-H"&amp;TEXT(D222*1000,"0000")&amp;"-S"&amp;E222&amp;IF(F222="Y","-GW","")&amp;"-"&amp;X222)</f>
        <v/>
      </c>
      <c r="B222" s="10" t="str">
        <f aca="false">IF(C222="","",C222&amp;", H = "&amp;TEXT(D222,"0.0")&amp;" m, q = "&amp;E222&amp;" kPa"&amp;IF(F222="Y",", with GWT",""))</f>
        <v/>
      </c>
      <c r="C222" s="9"/>
      <c r="D222" s="39"/>
      <c r="E222" s="36"/>
      <c r="F222" s="9"/>
      <c r="G222" s="9"/>
      <c r="H222" s="36"/>
      <c r="I222" s="38"/>
      <c r="J222" s="36"/>
      <c r="K222" s="36"/>
      <c r="L222" s="36"/>
      <c r="M222" s="36"/>
      <c r="N222" s="36"/>
      <c r="O222" s="36"/>
      <c r="P222" s="9"/>
      <c r="Q222" s="36"/>
      <c r="R222" s="9"/>
      <c r="S222" s="9"/>
      <c r="T222" s="39"/>
      <c r="U222" s="39"/>
      <c r="V222" s="36"/>
      <c r="W222" s="9"/>
      <c r="X222" s="9"/>
      <c r="Y222" s="9"/>
      <c r="Z222" s="9"/>
      <c r="AA222" s="9"/>
      <c r="AB222" s="9"/>
      <c r="AC222" s="9"/>
      <c r="AD222" s="37"/>
      <c r="AE222" s="38"/>
      <c r="AF222" s="39"/>
      <c r="AG222" s="39"/>
      <c r="AH222" s="9"/>
      <c r="AI222" s="9"/>
      <c r="AJ222" s="9"/>
      <c r="AK222" s="9"/>
      <c r="AL222" s="9"/>
      <c r="AM222" s="40"/>
      <c r="AN222" s="10" t="str">
        <f aca="false">IF(C222="","",C222&amp;"|"&amp;D222&amp;"|"&amp;E222&amp;"|"&amp;F222&amp;"|"&amp;Y222)</f>
        <v/>
      </c>
    </row>
    <row r="223" customFormat="false" ht="15" hidden="false" customHeight="false" outlineLevel="0" collapsed="false">
      <c r="A223" s="10" t="str">
        <f aca="false">IF(C223="","","RW-"&amp;IFERROR(VLOOKUP(C223,Lists!$M$4:$N$23,2,0),"??")&amp;"-H"&amp;TEXT(D223*1000,"0000")&amp;"-S"&amp;E223&amp;IF(F223="Y","-GW","")&amp;"-"&amp;X223)</f>
        <v/>
      </c>
      <c r="B223" s="10" t="str">
        <f aca="false">IF(C223="","",C223&amp;", H = "&amp;TEXT(D223,"0.0")&amp;" m, q = "&amp;E223&amp;" kPa"&amp;IF(F223="Y",", with GWT",""))</f>
        <v/>
      </c>
      <c r="C223" s="9"/>
      <c r="D223" s="39"/>
      <c r="E223" s="36"/>
      <c r="F223" s="9"/>
      <c r="G223" s="9"/>
      <c r="H223" s="36"/>
      <c r="I223" s="38"/>
      <c r="J223" s="36"/>
      <c r="K223" s="36"/>
      <c r="L223" s="36"/>
      <c r="M223" s="36"/>
      <c r="N223" s="36"/>
      <c r="O223" s="36"/>
      <c r="P223" s="9"/>
      <c r="Q223" s="36"/>
      <c r="R223" s="9"/>
      <c r="S223" s="9"/>
      <c r="T223" s="39"/>
      <c r="U223" s="39"/>
      <c r="V223" s="36"/>
      <c r="W223" s="9"/>
      <c r="X223" s="9"/>
      <c r="Y223" s="9"/>
      <c r="Z223" s="9"/>
      <c r="AA223" s="9"/>
      <c r="AB223" s="9"/>
      <c r="AC223" s="9"/>
      <c r="AD223" s="37"/>
      <c r="AE223" s="38"/>
      <c r="AF223" s="39"/>
      <c r="AG223" s="39"/>
      <c r="AH223" s="9"/>
      <c r="AI223" s="9"/>
      <c r="AJ223" s="9"/>
      <c r="AK223" s="9"/>
      <c r="AL223" s="9"/>
      <c r="AM223" s="40"/>
      <c r="AN223" s="10" t="str">
        <f aca="false">IF(C223="","",C223&amp;"|"&amp;D223&amp;"|"&amp;E223&amp;"|"&amp;F223&amp;"|"&amp;Y223)</f>
        <v/>
      </c>
    </row>
    <row r="224" customFormat="false" ht="15" hidden="false" customHeight="false" outlineLevel="0" collapsed="false">
      <c r="A224" s="10" t="str">
        <f aca="false">IF(C224="","","RW-"&amp;IFERROR(VLOOKUP(C224,Lists!$M$4:$N$23,2,0),"??")&amp;"-H"&amp;TEXT(D224*1000,"0000")&amp;"-S"&amp;E224&amp;IF(F224="Y","-GW","")&amp;"-"&amp;X224)</f>
        <v/>
      </c>
      <c r="B224" s="10" t="str">
        <f aca="false">IF(C224="","",C224&amp;", H = "&amp;TEXT(D224,"0.0")&amp;" m, q = "&amp;E224&amp;" kPa"&amp;IF(F224="Y",", with GWT",""))</f>
        <v/>
      </c>
      <c r="C224" s="9"/>
      <c r="D224" s="39"/>
      <c r="E224" s="36"/>
      <c r="F224" s="9"/>
      <c r="G224" s="9"/>
      <c r="H224" s="36"/>
      <c r="I224" s="38"/>
      <c r="J224" s="36"/>
      <c r="K224" s="36"/>
      <c r="L224" s="36"/>
      <c r="M224" s="36"/>
      <c r="N224" s="36"/>
      <c r="O224" s="36"/>
      <c r="P224" s="9"/>
      <c r="Q224" s="36"/>
      <c r="R224" s="9"/>
      <c r="S224" s="9"/>
      <c r="T224" s="39"/>
      <c r="U224" s="39"/>
      <c r="V224" s="36"/>
      <c r="W224" s="9"/>
      <c r="X224" s="9"/>
      <c r="Y224" s="9"/>
      <c r="Z224" s="9"/>
      <c r="AA224" s="9"/>
      <c r="AB224" s="9"/>
      <c r="AC224" s="9"/>
      <c r="AD224" s="37"/>
      <c r="AE224" s="38"/>
      <c r="AF224" s="39"/>
      <c r="AG224" s="39"/>
      <c r="AH224" s="9"/>
      <c r="AI224" s="9"/>
      <c r="AJ224" s="9"/>
      <c r="AK224" s="9"/>
      <c r="AL224" s="9"/>
      <c r="AM224" s="40"/>
      <c r="AN224" s="10" t="str">
        <f aca="false">IF(C224="","",C224&amp;"|"&amp;D224&amp;"|"&amp;E224&amp;"|"&amp;F224&amp;"|"&amp;Y224)</f>
        <v/>
      </c>
    </row>
    <row r="225" customFormat="false" ht="15" hidden="false" customHeight="false" outlineLevel="0" collapsed="false">
      <c r="A225" s="10" t="str">
        <f aca="false">IF(C225="","","RW-"&amp;IFERROR(VLOOKUP(C225,Lists!$M$4:$N$23,2,0),"??")&amp;"-H"&amp;TEXT(D225*1000,"0000")&amp;"-S"&amp;E225&amp;IF(F225="Y","-GW","")&amp;"-"&amp;X225)</f>
        <v/>
      </c>
      <c r="B225" s="10" t="str">
        <f aca="false">IF(C225="","",C225&amp;", H = "&amp;TEXT(D225,"0.0")&amp;" m, q = "&amp;E225&amp;" kPa"&amp;IF(F225="Y",", with GWT",""))</f>
        <v/>
      </c>
      <c r="C225" s="9"/>
      <c r="D225" s="39"/>
      <c r="E225" s="36"/>
      <c r="F225" s="9"/>
      <c r="G225" s="9"/>
      <c r="H225" s="36"/>
      <c r="I225" s="38"/>
      <c r="J225" s="36"/>
      <c r="K225" s="36"/>
      <c r="L225" s="36"/>
      <c r="M225" s="36"/>
      <c r="N225" s="36"/>
      <c r="O225" s="36"/>
      <c r="P225" s="9"/>
      <c r="Q225" s="36"/>
      <c r="R225" s="9"/>
      <c r="S225" s="9"/>
      <c r="T225" s="39"/>
      <c r="U225" s="39"/>
      <c r="V225" s="36"/>
      <c r="W225" s="9"/>
      <c r="X225" s="9"/>
      <c r="Y225" s="9"/>
      <c r="Z225" s="9"/>
      <c r="AA225" s="9"/>
      <c r="AB225" s="9"/>
      <c r="AC225" s="9"/>
      <c r="AD225" s="37"/>
      <c r="AE225" s="38"/>
      <c r="AF225" s="39"/>
      <c r="AG225" s="39"/>
      <c r="AH225" s="9"/>
      <c r="AI225" s="9"/>
      <c r="AJ225" s="9"/>
      <c r="AK225" s="9"/>
      <c r="AL225" s="9"/>
      <c r="AM225" s="40"/>
      <c r="AN225" s="10" t="str">
        <f aca="false">IF(C225="","",C225&amp;"|"&amp;D225&amp;"|"&amp;E225&amp;"|"&amp;F225&amp;"|"&amp;Y225)</f>
        <v/>
      </c>
    </row>
    <row r="226" customFormat="false" ht="15" hidden="false" customHeight="false" outlineLevel="0" collapsed="false">
      <c r="A226" s="10" t="str">
        <f aca="false">IF(C226="","","RW-"&amp;IFERROR(VLOOKUP(C226,Lists!$M$4:$N$23,2,0),"??")&amp;"-H"&amp;TEXT(D226*1000,"0000")&amp;"-S"&amp;E226&amp;IF(F226="Y","-GW","")&amp;"-"&amp;X226)</f>
        <v/>
      </c>
      <c r="B226" s="10" t="str">
        <f aca="false">IF(C226="","",C226&amp;", H = "&amp;TEXT(D226,"0.0")&amp;" m, q = "&amp;E226&amp;" kPa"&amp;IF(F226="Y",", with GWT",""))</f>
        <v/>
      </c>
      <c r="C226" s="9"/>
      <c r="D226" s="39"/>
      <c r="E226" s="36"/>
      <c r="F226" s="9"/>
      <c r="G226" s="9"/>
      <c r="H226" s="36"/>
      <c r="I226" s="38"/>
      <c r="J226" s="36"/>
      <c r="K226" s="36"/>
      <c r="L226" s="36"/>
      <c r="M226" s="36"/>
      <c r="N226" s="36"/>
      <c r="O226" s="36"/>
      <c r="P226" s="9"/>
      <c r="Q226" s="36"/>
      <c r="R226" s="9"/>
      <c r="S226" s="9"/>
      <c r="T226" s="39"/>
      <c r="U226" s="39"/>
      <c r="V226" s="36"/>
      <c r="W226" s="9"/>
      <c r="X226" s="9"/>
      <c r="Y226" s="9"/>
      <c r="Z226" s="9"/>
      <c r="AA226" s="9"/>
      <c r="AB226" s="9"/>
      <c r="AC226" s="9"/>
      <c r="AD226" s="37"/>
      <c r="AE226" s="38"/>
      <c r="AF226" s="39"/>
      <c r="AG226" s="39"/>
      <c r="AH226" s="9"/>
      <c r="AI226" s="9"/>
      <c r="AJ226" s="9"/>
      <c r="AK226" s="9"/>
      <c r="AL226" s="9"/>
      <c r="AM226" s="40"/>
      <c r="AN226" s="10" t="str">
        <f aca="false">IF(C226="","",C226&amp;"|"&amp;D226&amp;"|"&amp;E226&amp;"|"&amp;F226&amp;"|"&amp;Y226)</f>
        <v/>
      </c>
    </row>
    <row r="227" customFormat="false" ht="15" hidden="false" customHeight="false" outlineLevel="0" collapsed="false">
      <c r="A227" s="10" t="str">
        <f aca="false">IF(C227="","","RW-"&amp;IFERROR(VLOOKUP(C227,Lists!$M$4:$N$23,2,0),"??")&amp;"-H"&amp;TEXT(D227*1000,"0000")&amp;"-S"&amp;E227&amp;IF(F227="Y","-GW","")&amp;"-"&amp;X227)</f>
        <v/>
      </c>
      <c r="B227" s="10" t="str">
        <f aca="false">IF(C227="","",C227&amp;", H = "&amp;TEXT(D227,"0.0")&amp;" m, q = "&amp;E227&amp;" kPa"&amp;IF(F227="Y",", with GWT",""))</f>
        <v/>
      </c>
      <c r="C227" s="9"/>
      <c r="D227" s="39"/>
      <c r="E227" s="36"/>
      <c r="F227" s="9"/>
      <c r="G227" s="9"/>
      <c r="H227" s="36"/>
      <c r="I227" s="38"/>
      <c r="J227" s="36"/>
      <c r="K227" s="36"/>
      <c r="L227" s="36"/>
      <c r="M227" s="36"/>
      <c r="N227" s="36"/>
      <c r="O227" s="36"/>
      <c r="P227" s="9"/>
      <c r="Q227" s="36"/>
      <c r="R227" s="9"/>
      <c r="S227" s="9"/>
      <c r="T227" s="39"/>
      <c r="U227" s="39"/>
      <c r="V227" s="36"/>
      <c r="W227" s="9"/>
      <c r="X227" s="9"/>
      <c r="Y227" s="9"/>
      <c r="Z227" s="9"/>
      <c r="AA227" s="9"/>
      <c r="AB227" s="9"/>
      <c r="AC227" s="9"/>
      <c r="AD227" s="37"/>
      <c r="AE227" s="38"/>
      <c r="AF227" s="39"/>
      <c r="AG227" s="39"/>
      <c r="AH227" s="9"/>
      <c r="AI227" s="9"/>
      <c r="AJ227" s="9"/>
      <c r="AK227" s="9"/>
      <c r="AL227" s="9"/>
      <c r="AM227" s="40"/>
      <c r="AN227" s="10" t="str">
        <f aca="false">IF(C227="","",C227&amp;"|"&amp;D227&amp;"|"&amp;E227&amp;"|"&amp;F227&amp;"|"&amp;Y227)</f>
        <v/>
      </c>
    </row>
    <row r="228" customFormat="false" ht="15" hidden="false" customHeight="false" outlineLevel="0" collapsed="false">
      <c r="A228" s="10" t="str">
        <f aca="false">IF(C228="","","RW-"&amp;IFERROR(VLOOKUP(C228,Lists!$M$4:$N$23,2,0),"??")&amp;"-H"&amp;TEXT(D228*1000,"0000")&amp;"-S"&amp;E228&amp;IF(F228="Y","-GW","")&amp;"-"&amp;X228)</f>
        <v/>
      </c>
      <c r="B228" s="10" t="str">
        <f aca="false">IF(C228="","",C228&amp;", H = "&amp;TEXT(D228,"0.0")&amp;" m, q = "&amp;E228&amp;" kPa"&amp;IF(F228="Y",", with GWT",""))</f>
        <v/>
      </c>
      <c r="C228" s="9"/>
      <c r="D228" s="39"/>
      <c r="E228" s="36"/>
      <c r="F228" s="9"/>
      <c r="G228" s="9"/>
      <c r="H228" s="36"/>
      <c r="I228" s="38"/>
      <c r="J228" s="36"/>
      <c r="K228" s="36"/>
      <c r="L228" s="36"/>
      <c r="M228" s="36"/>
      <c r="N228" s="36"/>
      <c r="O228" s="36"/>
      <c r="P228" s="9"/>
      <c r="Q228" s="36"/>
      <c r="R228" s="9"/>
      <c r="S228" s="9"/>
      <c r="T228" s="39"/>
      <c r="U228" s="39"/>
      <c r="V228" s="36"/>
      <c r="W228" s="9"/>
      <c r="X228" s="9"/>
      <c r="Y228" s="9"/>
      <c r="Z228" s="9"/>
      <c r="AA228" s="9"/>
      <c r="AB228" s="9"/>
      <c r="AC228" s="9"/>
      <c r="AD228" s="37"/>
      <c r="AE228" s="38"/>
      <c r="AF228" s="39"/>
      <c r="AG228" s="39"/>
      <c r="AH228" s="9"/>
      <c r="AI228" s="9"/>
      <c r="AJ228" s="9"/>
      <c r="AK228" s="9"/>
      <c r="AL228" s="9"/>
      <c r="AM228" s="40"/>
      <c r="AN228" s="10" t="str">
        <f aca="false">IF(C228="","",C228&amp;"|"&amp;D228&amp;"|"&amp;E228&amp;"|"&amp;F228&amp;"|"&amp;Y228)</f>
        <v/>
      </c>
    </row>
    <row r="229" customFormat="false" ht="15" hidden="false" customHeight="false" outlineLevel="0" collapsed="false">
      <c r="A229" s="10" t="str">
        <f aca="false">IF(C229="","","RW-"&amp;IFERROR(VLOOKUP(C229,Lists!$M$4:$N$23,2,0),"??")&amp;"-H"&amp;TEXT(D229*1000,"0000")&amp;"-S"&amp;E229&amp;IF(F229="Y","-GW","")&amp;"-"&amp;X229)</f>
        <v/>
      </c>
      <c r="B229" s="10" t="str">
        <f aca="false">IF(C229="","",C229&amp;", H = "&amp;TEXT(D229,"0.0")&amp;" m, q = "&amp;E229&amp;" kPa"&amp;IF(F229="Y",", with GWT",""))</f>
        <v/>
      </c>
      <c r="C229" s="9"/>
      <c r="D229" s="39"/>
      <c r="E229" s="36"/>
      <c r="F229" s="9"/>
      <c r="G229" s="9"/>
      <c r="H229" s="36"/>
      <c r="I229" s="38"/>
      <c r="J229" s="36"/>
      <c r="K229" s="36"/>
      <c r="L229" s="36"/>
      <c r="M229" s="36"/>
      <c r="N229" s="36"/>
      <c r="O229" s="36"/>
      <c r="P229" s="9"/>
      <c r="Q229" s="36"/>
      <c r="R229" s="9"/>
      <c r="S229" s="9"/>
      <c r="T229" s="39"/>
      <c r="U229" s="39"/>
      <c r="V229" s="36"/>
      <c r="W229" s="9"/>
      <c r="X229" s="9"/>
      <c r="Y229" s="9"/>
      <c r="Z229" s="9"/>
      <c r="AA229" s="9"/>
      <c r="AB229" s="9"/>
      <c r="AC229" s="9"/>
      <c r="AD229" s="37"/>
      <c r="AE229" s="38"/>
      <c r="AF229" s="39"/>
      <c r="AG229" s="39"/>
      <c r="AH229" s="9"/>
      <c r="AI229" s="9"/>
      <c r="AJ229" s="9"/>
      <c r="AK229" s="9"/>
      <c r="AL229" s="9"/>
      <c r="AM229" s="40"/>
      <c r="AN229" s="10" t="str">
        <f aca="false">IF(C229="","",C229&amp;"|"&amp;D229&amp;"|"&amp;E229&amp;"|"&amp;F229&amp;"|"&amp;Y229)</f>
        <v/>
      </c>
    </row>
    <row r="230" customFormat="false" ht="15" hidden="false" customHeight="false" outlineLevel="0" collapsed="false">
      <c r="A230" s="10" t="str">
        <f aca="false">IF(C230="","","RW-"&amp;IFERROR(VLOOKUP(C230,Lists!$M$4:$N$23,2,0),"??")&amp;"-H"&amp;TEXT(D230*1000,"0000")&amp;"-S"&amp;E230&amp;IF(F230="Y","-GW","")&amp;"-"&amp;X230)</f>
        <v/>
      </c>
      <c r="B230" s="10" t="str">
        <f aca="false">IF(C230="","",C230&amp;", H = "&amp;TEXT(D230,"0.0")&amp;" m, q = "&amp;E230&amp;" kPa"&amp;IF(F230="Y",", with GWT",""))</f>
        <v/>
      </c>
      <c r="C230" s="9"/>
      <c r="D230" s="39"/>
      <c r="E230" s="36"/>
      <c r="F230" s="9"/>
      <c r="G230" s="9"/>
      <c r="H230" s="36"/>
      <c r="I230" s="38"/>
      <c r="J230" s="36"/>
      <c r="K230" s="36"/>
      <c r="L230" s="36"/>
      <c r="M230" s="36"/>
      <c r="N230" s="36"/>
      <c r="O230" s="36"/>
      <c r="P230" s="9"/>
      <c r="Q230" s="36"/>
      <c r="R230" s="9"/>
      <c r="S230" s="9"/>
      <c r="T230" s="39"/>
      <c r="U230" s="39"/>
      <c r="V230" s="36"/>
      <c r="W230" s="9"/>
      <c r="X230" s="9"/>
      <c r="Y230" s="9"/>
      <c r="Z230" s="9"/>
      <c r="AA230" s="9"/>
      <c r="AB230" s="9"/>
      <c r="AC230" s="9"/>
      <c r="AD230" s="37"/>
      <c r="AE230" s="38"/>
      <c r="AF230" s="39"/>
      <c r="AG230" s="39"/>
      <c r="AH230" s="9"/>
      <c r="AI230" s="9"/>
      <c r="AJ230" s="9"/>
      <c r="AK230" s="9"/>
      <c r="AL230" s="9"/>
      <c r="AM230" s="40"/>
      <c r="AN230" s="10" t="str">
        <f aca="false">IF(C230="","",C230&amp;"|"&amp;D230&amp;"|"&amp;E230&amp;"|"&amp;F230&amp;"|"&amp;Y230)</f>
        <v/>
      </c>
    </row>
    <row r="231" customFormat="false" ht="15" hidden="false" customHeight="false" outlineLevel="0" collapsed="false">
      <c r="A231" s="10" t="str">
        <f aca="false">IF(C231="","","RW-"&amp;IFERROR(VLOOKUP(C231,Lists!$M$4:$N$23,2,0),"??")&amp;"-H"&amp;TEXT(D231*1000,"0000")&amp;"-S"&amp;E231&amp;IF(F231="Y","-GW","")&amp;"-"&amp;X231)</f>
        <v/>
      </c>
      <c r="B231" s="10" t="str">
        <f aca="false">IF(C231="","",C231&amp;", H = "&amp;TEXT(D231,"0.0")&amp;" m, q = "&amp;E231&amp;" kPa"&amp;IF(F231="Y",", with GWT",""))</f>
        <v/>
      </c>
      <c r="C231" s="9"/>
      <c r="D231" s="39"/>
      <c r="E231" s="36"/>
      <c r="F231" s="9"/>
      <c r="G231" s="9"/>
      <c r="H231" s="36"/>
      <c r="I231" s="38"/>
      <c r="J231" s="36"/>
      <c r="K231" s="36"/>
      <c r="L231" s="36"/>
      <c r="M231" s="36"/>
      <c r="N231" s="36"/>
      <c r="O231" s="36"/>
      <c r="P231" s="9"/>
      <c r="Q231" s="36"/>
      <c r="R231" s="9"/>
      <c r="S231" s="9"/>
      <c r="T231" s="39"/>
      <c r="U231" s="39"/>
      <c r="V231" s="36"/>
      <c r="W231" s="9"/>
      <c r="X231" s="9"/>
      <c r="Y231" s="9"/>
      <c r="Z231" s="9"/>
      <c r="AA231" s="9"/>
      <c r="AB231" s="9"/>
      <c r="AC231" s="9"/>
      <c r="AD231" s="37"/>
      <c r="AE231" s="38"/>
      <c r="AF231" s="39"/>
      <c r="AG231" s="39"/>
      <c r="AH231" s="9"/>
      <c r="AI231" s="9"/>
      <c r="AJ231" s="9"/>
      <c r="AK231" s="9"/>
      <c r="AL231" s="9"/>
      <c r="AM231" s="40"/>
      <c r="AN231" s="10" t="str">
        <f aca="false">IF(C231="","",C231&amp;"|"&amp;D231&amp;"|"&amp;E231&amp;"|"&amp;F231&amp;"|"&amp;Y231)</f>
        <v/>
      </c>
    </row>
    <row r="232" customFormat="false" ht="15" hidden="false" customHeight="false" outlineLevel="0" collapsed="false">
      <c r="A232" s="10" t="str">
        <f aca="false">IF(C232="","","RW-"&amp;IFERROR(VLOOKUP(C232,Lists!$M$4:$N$23,2,0),"??")&amp;"-H"&amp;TEXT(D232*1000,"0000")&amp;"-S"&amp;E232&amp;IF(F232="Y","-GW","")&amp;"-"&amp;X232)</f>
        <v/>
      </c>
      <c r="B232" s="10" t="str">
        <f aca="false">IF(C232="","",C232&amp;", H = "&amp;TEXT(D232,"0.0")&amp;" m, q = "&amp;E232&amp;" kPa"&amp;IF(F232="Y",", with GWT",""))</f>
        <v/>
      </c>
      <c r="C232" s="9"/>
      <c r="D232" s="39"/>
      <c r="E232" s="36"/>
      <c r="F232" s="9"/>
      <c r="G232" s="9"/>
      <c r="H232" s="36"/>
      <c r="I232" s="38"/>
      <c r="J232" s="36"/>
      <c r="K232" s="36"/>
      <c r="L232" s="36"/>
      <c r="M232" s="36"/>
      <c r="N232" s="36"/>
      <c r="O232" s="36"/>
      <c r="P232" s="9"/>
      <c r="Q232" s="36"/>
      <c r="R232" s="9"/>
      <c r="S232" s="9"/>
      <c r="T232" s="39"/>
      <c r="U232" s="39"/>
      <c r="V232" s="36"/>
      <c r="W232" s="9"/>
      <c r="X232" s="9"/>
      <c r="Y232" s="9"/>
      <c r="Z232" s="9"/>
      <c r="AA232" s="9"/>
      <c r="AB232" s="9"/>
      <c r="AC232" s="9"/>
      <c r="AD232" s="37"/>
      <c r="AE232" s="38"/>
      <c r="AF232" s="39"/>
      <c r="AG232" s="39"/>
      <c r="AH232" s="9"/>
      <c r="AI232" s="9"/>
      <c r="AJ232" s="9"/>
      <c r="AK232" s="9"/>
      <c r="AL232" s="9"/>
      <c r="AM232" s="40"/>
      <c r="AN232" s="10" t="str">
        <f aca="false">IF(C232="","",C232&amp;"|"&amp;D232&amp;"|"&amp;E232&amp;"|"&amp;F232&amp;"|"&amp;Y232)</f>
        <v/>
      </c>
    </row>
    <row r="233" customFormat="false" ht="15" hidden="false" customHeight="false" outlineLevel="0" collapsed="false">
      <c r="A233" s="10" t="str">
        <f aca="false">IF(C233="","","RW-"&amp;IFERROR(VLOOKUP(C233,Lists!$M$4:$N$23,2,0),"??")&amp;"-H"&amp;TEXT(D233*1000,"0000")&amp;"-S"&amp;E233&amp;IF(F233="Y","-GW","")&amp;"-"&amp;X233)</f>
        <v/>
      </c>
      <c r="B233" s="10" t="str">
        <f aca="false">IF(C233="","",C233&amp;", H = "&amp;TEXT(D233,"0.0")&amp;" m, q = "&amp;E233&amp;" kPa"&amp;IF(F233="Y",", with GWT",""))</f>
        <v/>
      </c>
      <c r="C233" s="9"/>
      <c r="D233" s="39"/>
      <c r="E233" s="36"/>
      <c r="F233" s="9"/>
      <c r="G233" s="9"/>
      <c r="H233" s="36"/>
      <c r="I233" s="38"/>
      <c r="J233" s="36"/>
      <c r="K233" s="36"/>
      <c r="L233" s="36"/>
      <c r="M233" s="36"/>
      <c r="N233" s="36"/>
      <c r="O233" s="36"/>
      <c r="P233" s="9"/>
      <c r="Q233" s="36"/>
      <c r="R233" s="9"/>
      <c r="S233" s="9"/>
      <c r="T233" s="39"/>
      <c r="U233" s="39"/>
      <c r="V233" s="36"/>
      <c r="W233" s="9"/>
      <c r="X233" s="9"/>
      <c r="Y233" s="9"/>
      <c r="Z233" s="9"/>
      <c r="AA233" s="9"/>
      <c r="AB233" s="9"/>
      <c r="AC233" s="9"/>
      <c r="AD233" s="37"/>
      <c r="AE233" s="38"/>
      <c r="AF233" s="39"/>
      <c r="AG233" s="39"/>
      <c r="AH233" s="9"/>
      <c r="AI233" s="9"/>
      <c r="AJ233" s="9"/>
      <c r="AK233" s="9"/>
      <c r="AL233" s="9"/>
      <c r="AM233" s="40"/>
      <c r="AN233" s="10" t="str">
        <f aca="false">IF(C233="","",C233&amp;"|"&amp;D233&amp;"|"&amp;E233&amp;"|"&amp;F233&amp;"|"&amp;Y233)</f>
        <v/>
      </c>
    </row>
    <row r="234" customFormat="false" ht="15" hidden="false" customHeight="false" outlineLevel="0" collapsed="false">
      <c r="A234" s="10" t="str">
        <f aca="false">IF(C234="","","RW-"&amp;IFERROR(VLOOKUP(C234,Lists!$M$4:$N$23,2,0),"??")&amp;"-H"&amp;TEXT(D234*1000,"0000")&amp;"-S"&amp;E234&amp;IF(F234="Y","-GW","")&amp;"-"&amp;X234)</f>
        <v/>
      </c>
      <c r="B234" s="10" t="str">
        <f aca="false">IF(C234="","",C234&amp;", H = "&amp;TEXT(D234,"0.0")&amp;" m, q = "&amp;E234&amp;" kPa"&amp;IF(F234="Y",", with GWT",""))</f>
        <v/>
      </c>
      <c r="C234" s="9"/>
      <c r="D234" s="39"/>
      <c r="E234" s="36"/>
      <c r="F234" s="9"/>
      <c r="G234" s="9"/>
      <c r="H234" s="36"/>
      <c r="I234" s="38"/>
      <c r="J234" s="36"/>
      <c r="K234" s="36"/>
      <c r="L234" s="36"/>
      <c r="M234" s="36"/>
      <c r="N234" s="36"/>
      <c r="O234" s="36"/>
      <c r="P234" s="9"/>
      <c r="Q234" s="36"/>
      <c r="R234" s="9"/>
      <c r="S234" s="9"/>
      <c r="T234" s="39"/>
      <c r="U234" s="39"/>
      <c r="V234" s="36"/>
      <c r="W234" s="9"/>
      <c r="X234" s="9"/>
      <c r="Y234" s="9"/>
      <c r="Z234" s="9"/>
      <c r="AA234" s="9"/>
      <c r="AB234" s="9"/>
      <c r="AC234" s="9"/>
      <c r="AD234" s="37"/>
      <c r="AE234" s="38"/>
      <c r="AF234" s="39"/>
      <c r="AG234" s="39"/>
      <c r="AH234" s="9"/>
      <c r="AI234" s="9"/>
      <c r="AJ234" s="9"/>
      <c r="AK234" s="9"/>
      <c r="AL234" s="9"/>
      <c r="AM234" s="40"/>
      <c r="AN234" s="10" t="str">
        <f aca="false">IF(C234="","",C234&amp;"|"&amp;D234&amp;"|"&amp;E234&amp;"|"&amp;F234&amp;"|"&amp;Y234)</f>
        <v/>
      </c>
    </row>
    <row r="235" customFormat="false" ht="15" hidden="false" customHeight="false" outlineLevel="0" collapsed="false">
      <c r="A235" s="10" t="str">
        <f aca="false">IF(C235="","","RW-"&amp;IFERROR(VLOOKUP(C235,Lists!$M$4:$N$23,2,0),"??")&amp;"-H"&amp;TEXT(D235*1000,"0000")&amp;"-S"&amp;E235&amp;IF(F235="Y","-GW","")&amp;"-"&amp;X235)</f>
        <v/>
      </c>
      <c r="B235" s="10" t="str">
        <f aca="false">IF(C235="","",C235&amp;", H = "&amp;TEXT(D235,"0.0")&amp;" m, q = "&amp;E235&amp;" kPa"&amp;IF(F235="Y",", with GWT",""))</f>
        <v/>
      </c>
      <c r="C235" s="9"/>
      <c r="D235" s="39"/>
      <c r="E235" s="36"/>
      <c r="F235" s="9"/>
      <c r="G235" s="9"/>
      <c r="H235" s="36"/>
      <c r="I235" s="38"/>
      <c r="J235" s="36"/>
      <c r="K235" s="36"/>
      <c r="L235" s="36"/>
      <c r="M235" s="36"/>
      <c r="N235" s="36"/>
      <c r="O235" s="36"/>
      <c r="P235" s="9"/>
      <c r="Q235" s="36"/>
      <c r="R235" s="9"/>
      <c r="S235" s="9"/>
      <c r="T235" s="39"/>
      <c r="U235" s="39"/>
      <c r="V235" s="36"/>
      <c r="W235" s="9"/>
      <c r="X235" s="9"/>
      <c r="Y235" s="9"/>
      <c r="Z235" s="9"/>
      <c r="AA235" s="9"/>
      <c r="AB235" s="9"/>
      <c r="AC235" s="9"/>
      <c r="AD235" s="37"/>
      <c r="AE235" s="38"/>
      <c r="AF235" s="39"/>
      <c r="AG235" s="39"/>
      <c r="AH235" s="9"/>
      <c r="AI235" s="9"/>
      <c r="AJ235" s="9"/>
      <c r="AK235" s="9"/>
      <c r="AL235" s="9"/>
      <c r="AM235" s="40"/>
      <c r="AN235" s="10" t="str">
        <f aca="false">IF(C235="","",C235&amp;"|"&amp;D235&amp;"|"&amp;E235&amp;"|"&amp;F235&amp;"|"&amp;Y235)</f>
        <v/>
      </c>
    </row>
    <row r="236" customFormat="false" ht="15" hidden="false" customHeight="false" outlineLevel="0" collapsed="false">
      <c r="A236" s="10" t="str">
        <f aca="false">IF(C236="","","RW-"&amp;IFERROR(VLOOKUP(C236,Lists!$M$4:$N$23,2,0),"??")&amp;"-H"&amp;TEXT(D236*1000,"0000")&amp;"-S"&amp;E236&amp;IF(F236="Y","-GW","")&amp;"-"&amp;X236)</f>
        <v/>
      </c>
      <c r="B236" s="10" t="str">
        <f aca="false">IF(C236="","",C236&amp;", H = "&amp;TEXT(D236,"0.0")&amp;" m, q = "&amp;E236&amp;" kPa"&amp;IF(F236="Y",", with GWT",""))</f>
        <v/>
      </c>
      <c r="C236" s="9"/>
      <c r="D236" s="39"/>
      <c r="E236" s="36"/>
      <c r="F236" s="9"/>
      <c r="G236" s="9"/>
      <c r="H236" s="36"/>
      <c r="I236" s="38"/>
      <c r="J236" s="36"/>
      <c r="K236" s="36"/>
      <c r="L236" s="36"/>
      <c r="M236" s="36"/>
      <c r="N236" s="36"/>
      <c r="O236" s="36"/>
      <c r="P236" s="9"/>
      <c r="Q236" s="36"/>
      <c r="R236" s="9"/>
      <c r="S236" s="9"/>
      <c r="T236" s="39"/>
      <c r="U236" s="39"/>
      <c r="V236" s="36"/>
      <c r="W236" s="9"/>
      <c r="X236" s="9"/>
      <c r="Y236" s="9"/>
      <c r="Z236" s="9"/>
      <c r="AA236" s="9"/>
      <c r="AB236" s="9"/>
      <c r="AC236" s="9"/>
      <c r="AD236" s="37"/>
      <c r="AE236" s="38"/>
      <c r="AF236" s="39"/>
      <c r="AG236" s="39"/>
      <c r="AH236" s="9"/>
      <c r="AI236" s="9"/>
      <c r="AJ236" s="9"/>
      <c r="AK236" s="9"/>
      <c r="AL236" s="9"/>
      <c r="AM236" s="40"/>
      <c r="AN236" s="10" t="str">
        <f aca="false">IF(C236="","",C236&amp;"|"&amp;D236&amp;"|"&amp;E236&amp;"|"&amp;F236&amp;"|"&amp;Y236)</f>
        <v/>
      </c>
    </row>
    <row r="237" customFormat="false" ht="15" hidden="false" customHeight="false" outlineLevel="0" collapsed="false">
      <c r="A237" s="10" t="str">
        <f aca="false">IF(C237="","","RW-"&amp;IFERROR(VLOOKUP(C237,Lists!$M$4:$N$23,2,0),"??")&amp;"-H"&amp;TEXT(D237*1000,"0000")&amp;"-S"&amp;E237&amp;IF(F237="Y","-GW","")&amp;"-"&amp;X237)</f>
        <v/>
      </c>
      <c r="B237" s="10" t="str">
        <f aca="false">IF(C237="","",C237&amp;", H = "&amp;TEXT(D237,"0.0")&amp;" m, q = "&amp;E237&amp;" kPa"&amp;IF(F237="Y",", with GWT",""))</f>
        <v/>
      </c>
      <c r="C237" s="9"/>
      <c r="D237" s="39"/>
      <c r="E237" s="36"/>
      <c r="F237" s="9"/>
      <c r="G237" s="9"/>
      <c r="H237" s="36"/>
      <c r="I237" s="38"/>
      <c r="J237" s="36"/>
      <c r="K237" s="36"/>
      <c r="L237" s="36"/>
      <c r="M237" s="36"/>
      <c r="N237" s="36"/>
      <c r="O237" s="36"/>
      <c r="P237" s="9"/>
      <c r="Q237" s="36"/>
      <c r="R237" s="9"/>
      <c r="S237" s="9"/>
      <c r="T237" s="39"/>
      <c r="U237" s="39"/>
      <c r="V237" s="36"/>
      <c r="W237" s="9"/>
      <c r="X237" s="9"/>
      <c r="Y237" s="9"/>
      <c r="Z237" s="9"/>
      <c r="AA237" s="9"/>
      <c r="AB237" s="9"/>
      <c r="AC237" s="9"/>
      <c r="AD237" s="37"/>
      <c r="AE237" s="38"/>
      <c r="AF237" s="39"/>
      <c r="AG237" s="39"/>
      <c r="AH237" s="9"/>
      <c r="AI237" s="9"/>
      <c r="AJ237" s="9"/>
      <c r="AK237" s="9"/>
      <c r="AL237" s="9"/>
      <c r="AM237" s="40"/>
      <c r="AN237" s="10" t="str">
        <f aca="false">IF(C237="","",C237&amp;"|"&amp;D237&amp;"|"&amp;E237&amp;"|"&amp;F237&amp;"|"&amp;Y237)</f>
        <v/>
      </c>
    </row>
    <row r="238" customFormat="false" ht="15" hidden="false" customHeight="false" outlineLevel="0" collapsed="false">
      <c r="A238" s="10" t="str">
        <f aca="false">IF(C238="","","RW-"&amp;IFERROR(VLOOKUP(C238,Lists!$M$4:$N$23,2,0),"??")&amp;"-H"&amp;TEXT(D238*1000,"0000")&amp;"-S"&amp;E238&amp;IF(F238="Y","-GW","")&amp;"-"&amp;X238)</f>
        <v/>
      </c>
      <c r="B238" s="10" t="str">
        <f aca="false">IF(C238="","",C238&amp;", H = "&amp;TEXT(D238,"0.0")&amp;" m, q = "&amp;E238&amp;" kPa"&amp;IF(F238="Y",", with GWT",""))</f>
        <v/>
      </c>
      <c r="C238" s="9"/>
      <c r="D238" s="39"/>
      <c r="E238" s="36"/>
      <c r="F238" s="9"/>
      <c r="G238" s="9"/>
      <c r="H238" s="36"/>
      <c r="I238" s="38"/>
      <c r="J238" s="36"/>
      <c r="K238" s="36"/>
      <c r="L238" s="36"/>
      <c r="M238" s="36"/>
      <c r="N238" s="36"/>
      <c r="O238" s="36"/>
      <c r="P238" s="9"/>
      <c r="Q238" s="36"/>
      <c r="R238" s="9"/>
      <c r="S238" s="9"/>
      <c r="T238" s="39"/>
      <c r="U238" s="39"/>
      <c r="V238" s="36"/>
      <c r="W238" s="9"/>
      <c r="X238" s="9"/>
      <c r="Y238" s="9"/>
      <c r="Z238" s="9"/>
      <c r="AA238" s="9"/>
      <c r="AB238" s="9"/>
      <c r="AC238" s="9"/>
      <c r="AD238" s="37"/>
      <c r="AE238" s="38"/>
      <c r="AF238" s="39"/>
      <c r="AG238" s="39"/>
      <c r="AH238" s="9"/>
      <c r="AI238" s="9"/>
      <c r="AJ238" s="9"/>
      <c r="AK238" s="9"/>
      <c r="AL238" s="9"/>
      <c r="AM238" s="40"/>
      <c r="AN238" s="10" t="str">
        <f aca="false">IF(C238="","",C238&amp;"|"&amp;D238&amp;"|"&amp;E238&amp;"|"&amp;F238&amp;"|"&amp;Y238)</f>
        <v/>
      </c>
    </row>
    <row r="239" customFormat="false" ht="15" hidden="false" customHeight="false" outlineLevel="0" collapsed="false">
      <c r="A239" s="10" t="str">
        <f aca="false">IF(C239="","","RW-"&amp;IFERROR(VLOOKUP(C239,Lists!$M$4:$N$23,2,0),"??")&amp;"-H"&amp;TEXT(D239*1000,"0000")&amp;"-S"&amp;E239&amp;IF(F239="Y","-GW","")&amp;"-"&amp;X239)</f>
        <v/>
      </c>
      <c r="B239" s="10" t="str">
        <f aca="false">IF(C239="","",C239&amp;", H = "&amp;TEXT(D239,"0.0")&amp;" m, q = "&amp;E239&amp;" kPa"&amp;IF(F239="Y",", with GWT",""))</f>
        <v/>
      </c>
      <c r="C239" s="9"/>
      <c r="D239" s="39"/>
      <c r="E239" s="36"/>
      <c r="F239" s="9"/>
      <c r="G239" s="9"/>
      <c r="H239" s="36"/>
      <c r="I239" s="38"/>
      <c r="J239" s="36"/>
      <c r="K239" s="36"/>
      <c r="L239" s="36"/>
      <c r="M239" s="36"/>
      <c r="N239" s="36"/>
      <c r="O239" s="36"/>
      <c r="P239" s="9"/>
      <c r="Q239" s="36"/>
      <c r="R239" s="9"/>
      <c r="S239" s="9"/>
      <c r="T239" s="39"/>
      <c r="U239" s="39"/>
      <c r="V239" s="36"/>
      <c r="W239" s="9"/>
      <c r="X239" s="9"/>
      <c r="Y239" s="9"/>
      <c r="Z239" s="9"/>
      <c r="AA239" s="9"/>
      <c r="AB239" s="9"/>
      <c r="AC239" s="9"/>
      <c r="AD239" s="37"/>
      <c r="AE239" s="38"/>
      <c r="AF239" s="39"/>
      <c r="AG239" s="39"/>
      <c r="AH239" s="9"/>
      <c r="AI239" s="9"/>
      <c r="AJ239" s="9"/>
      <c r="AK239" s="9"/>
      <c r="AL239" s="9"/>
      <c r="AM239" s="40"/>
      <c r="AN239" s="10" t="str">
        <f aca="false">IF(C239="","",C239&amp;"|"&amp;D239&amp;"|"&amp;E239&amp;"|"&amp;F239&amp;"|"&amp;Y239)</f>
        <v/>
      </c>
    </row>
    <row r="240" customFormat="false" ht="15" hidden="false" customHeight="false" outlineLevel="0" collapsed="false">
      <c r="A240" s="10" t="str">
        <f aca="false">IF(C240="","","RW-"&amp;IFERROR(VLOOKUP(C240,Lists!$M$4:$N$23,2,0),"??")&amp;"-H"&amp;TEXT(D240*1000,"0000")&amp;"-S"&amp;E240&amp;IF(F240="Y","-GW","")&amp;"-"&amp;X240)</f>
        <v/>
      </c>
      <c r="B240" s="10" t="str">
        <f aca="false">IF(C240="","",C240&amp;", H = "&amp;TEXT(D240,"0.0")&amp;" m, q = "&amp;E240&amp;" kPa"&amp;IF(F240="Y",", with GWT",""))</f>
        <v/>
      </c>
      <c r="C240" s="9"/>
      <c r="D240" s="39"/>
      <c r="E240" s="36"/>
      <c r="F240" s="9"/>
      <c r="G240" s="9"/>
      <c r="H240" s="36"/>
      <c r="I240" s="38"/>
      <c r="J240" s="36"/>
      <c r="K240" s="36"/>
      <c r="L240" s="36"/>
      <c r="M240" s="36"/>
      <c r="N240" s="36"/>
      <c r="O240" s="36"/>
      <c r="P240" s="9"/>
      <c r="Q240" s="36"/>
      <c r="R240" s="9"/>
      <c r="S240" s="9"/>
      <c r="T240" s="39"/>
      <c r="U240" s="39"/>
      <c r="V240" s="36"/>
      <c r="W240" s="9"/>
      <c r="X240" s="9"/>
      <c r="Y240" s="9"/>
      <c r="Z240" s="9"/>
      <c r="AA240" s="9"/>
      <c r="AB240" s="9"/>
      <c r="AC240" s="9"/>
      <c r="AD240" s="37"/>
      <c r="AE240" s="38"/>
      <c r="AF240" s="39"/>
      <c r="AG240" s="39"/>
      <c r="AH240" s="9"/>
      <c r="AI240" s="9"/>
      <c r="AJ240" s="9"/>
      <c r="AK240" s="9"/>
      <c r="AL240" s="9"/>
      <c r="AM240" s="40"/>
      <c r="AN240" s="10" t="str">
        <f aca="false">IF(C240="","",C240&amp;"|"&amp;D240&amp;"|"&amp;E240&amp;"|"&amp;F240&amp;"|"&amp;Y240)</f>
        <v/>
      </c>
    </row>
    <row r="241" customFormat="false" ht="15" hidden="false" customHeight="false" outlineLevel="0" collapsed="false">
      <c r="A241" s="10" t="str">
        <f aca="false">IF(C241="","","RW-"&amp;IFERROR(VLOOKUP(C241,Lists!$M$4:$N$23,2,0),"??")&amp;"-H"&amp;TEXT(D241*1000,"0000")&amp;"-S"&amp;E241&amp;IF(F241="Y","-GW","")&amp;"-"&amp;X241)</f>
        <v/>
      </c>
      <c r="B241" s="10" t="str">
        <f aca="false">IF(C241="","",C241&amp;", H = "&amp;TEXT(D241,"0.0")&amp;" m, q = "&amp;E241&amp;" kPa"&amp;IF(F241="Y",", with GWT",""))</f>
        <v/>
      </c>
      <c r="C241" s="9"/>
      <c r="D241" s="39"/>
      <c r="E241" s="36"/>
      <c r="F241" s="9"/>
      <c r="G241" s="9"/>
      <c r="H241" s="36"/>
      <c r="I241" s="38"/>
      <c r="J241" s="36"/>
      <c r="K241" s="36"/>
      <c r="L241" s="36"/>
      <c r="M241" s="36"/>
      <c r="N241" s="36"/>
      <c r="O241" s="36"/>
      <c r="P241" s="9"/>
      <c r="Q241" s="36"/>
      <c r="R241" s="9"/>
      <c r="S241" s="9"/>
      <c r="T241" s="39"/>
      <c r="U241" s="39"/>
      <c r="V241" s="36"/>
      <c r="W241" s="9"/>
      <c r="X241" s="9"/>
      <c r="Y241" s="9"/>
      <c r="Z241" s="9"/>
      <c r="AA241" s="9"/>
      <c r="AB241" s="9"/>
      <c r="AC241" s="9"/>
      <c r="AD241" s="37"/>
      <c r="AE241" s="38"/>
      <c r="AF241" s="39"/>
      <c r="AG241" s="39"/>
      <c r="AH241" s="9"/>
      <c r="AI241" s="9"/>
      <c r="AJ241" s="9"/>
      <c r="AK241" s="9"/>
      <c r="AL241" s="9"/>
      <c r="AM241" s="40"/>
      <c r="AN241" s="10" t="str">
        <f aca="false">IF(C241="","",C241&amp;"|"&amp;D241&amp;"|"&amp;E241&amp;"|"&amp;F241&amp;"|"&amp;Y241)</f>
        <v/>
      </c>
    </row>
    <row r="242" customFormat="false" ht="15" hidden="false" customHeight="false" outlineLevel="0" collapsed="false">
      <c r="A242" s="10" t="str">
        <f aca="false">IF(C242="","","RW-"&amp;IFERROR(VLOOKUP(C242,Lists!$M$4:$N$23,2,0),"??")&amp;"-H"&amp;TEXT(D242*1000,"0000")&amp;"-S"&amp;E242&amp;IF(F242="Y","-GW","")&amp;"-"&amp;X242)</f>
        <v/>
      </c>
      <c r="B242" s="10" t="str">
        <f aca="false">IF(C242="","",C242&amp;", H = "&amp;TEXT(D242,"0.0")&amp;" m, q = "&amp;E242&amp;" kPa"&amp;IF(F242="Y",", with GWT",""))</f>
        <v/>
      </c>
      <c r="C242" s="9"/>
      <c r="D242" s="39"/>
      <c r="E242" s="36"/>
      <c r="F242" s="9"/>
      <c r="G242" s="9"/>
      <c r="H242" s="36"/>
      <c r="I242" s="38"/>
      <c r="J242" s="36"/>
      <c r="K242" s="36"/>
      <c r="L242" s="36"/>
      <c r="M242" s="36"/>
      <c r="N242" s="36"/>
      <c r="O242" s="36"/>
      <c r="P242" s="9"/>
      <c r="Q242" s="36"/>
      <c r="R242" s="9"/>
      <c r="S242" s="9"/>
      <c r="T242" s="39"/>
      <c r="U242" s="39"/>
      <c r="V242" s="36"/>
      <c r="W242" s="9"/>
      <c r="X242" s="9"/>
      <c r="Y242" s="9"/>
      <c r="Z242" s="9"/>
      <c r="AA242" s="9"/>
      <c r="AB242" s="9"/>
      <c r="AC242" s="9"/>
      <c r="AD242" s="37"/>
      <c r="AE242" s="38"/>
      <c r="AF242" s="39"/>
      <c r="AG242" s="39"/>
      <c r="AH242" s="9"/>
      <c r="AI242" s="9"/>
      <c r="AJ242" s="9"/>
      <c r="AK242" s="9"/>
      <c r="AL242" s="9"/>
      <c r="AM242" s="40"/>
      <c r="AN242" s="10" t="str">
        <f aca="false">IF(C242="","",C242&amp;"|"&amp;D242&amp;"|"&amp;E242&amp;"|"&amp;F242&amp;"|"&amp;Y242)</f>
        <v/>
      </c>
    </row>
    <row r="243" customFormat="false" ht="15" hidden="false" customHeight="false" outlineLevel="0" collapsed="false">
      <c r="A243" s="10" t="str">
        <f aca="false">IF(C243="","","RW-"&amp;IFERROR(VLOOKUP(C243,Lists!$M$4:$N$23,2,0),"??")&amp;"-H"&amp;TEXT(D243*1000,"0000")&amp;"-S"&amp;E243&amp;IF(F243="Y","-GW","")&amp;"-"&amp;X243)</f>
        <v/>
      </c>
      <c r="B243" s="10" t="str">
        <f aca="false">IF(C243="","",C243&amp;", H = "&amp;TEXT(D243,"0.0")&amp;" m, q = "&amp;E243&amp;" kPa"&amp;IF(F243="Y",", with GWT",""))</f>
        <v/>
      </c>
      <c r="C243" s="9"/>
      <c r="D243" s="39"/>
      <c r="E243" s="36"/>
      <c r="F243" s="9"/>
      <c r="G243" s="9"/>
      <c r="H243" s="36"/>
      <c r="I243" s="38"/>
      <c r="J243" s="36"/>
      <c r="K243" s="36"/>
      <c r="L243" s="36"/>
      <c r="M243" s="36"/>
      <c r="N243" s="36"/>
      <c r="O243" s="36"/>
      <c r="P243" s="9"/>
      <c r="Q243" s="36"/>
      <c r="R243" s="9"/>
      <c r="S243" s="9"/>
      <c r="T243" s="39"/>
      <c r="U243" s="39"/>
      <c r="V243" s="36"/>
      <c r="W243" s="9"/>
      <c r="X243" s="9"/>
      <c r="Y243" s="9"/>
      <c r="Z243" s="9"/>
      <c r="AA243" s="9"/>
      <c r="AB243" s="9"/>
      <c r="AC243" s="9"/>
      <c r="AD243" s="37"/>
      <c r="AE243" s="38"/>
      <c r="AF243" s="39"/>
      <c r="AG243" s="39"/>
      <c r="AH243" s="9"/>
      <c r="AI243" s="9"/>
      <c r="AJ243" s="9"/>
      <c r="AK243" s="9"/>
      <c r="AL243" s="9"/>
      <c r="AM243" s="40"/>
      <c r="AN243" s="10" t="str">
        <f aca="false">IF(C243="","",C243&amp;"|"&amp;D243&amp;"|"&amp;E243&amp;"|"&amp;F243&amp;"|"&amp;Y243)</f>
        <v/>
      </c>
    </row>
    <row r="244" customFormat="false" ht="15" hidden="false" customHeight="false" outlineLevel="0" collapsed="false">
      <c r="A244" s="10" t="str">
        <f aca="false">IF(C244="","","RW-"&amp;IFERROR(VLOOKUP(C244,Lists!$M$4:$N$23,2,0),"??")&amp;"-H"&amp;TEXT(D244*1000,"0000")&amp;"-S"&amp;E244&amp;IF(F244="Y","-GW","")&amp;"-"&amp;X244)</f>
        <v/>
      </c>
      <c r="B244" s="10" t="str">
        <f aca="false">IF(C244="","",C244&amp;", H = "&amp;TEXT(D244,"0.0")&amp;" m, q = "&amp;E244&amp;" kPa"&amp;IF(F244="Y",", with GWT",""))</f>
        <v/>
      </c>
      <c r="C244" s="9"/>
      <c r="D244" s="39"/>
      <c r="E244" s="36"/>
      <c r="F244" s="9"/>
      <c r="G244" s="9"/>
      <c r="H244" s="36"/>
      <c r="I244" s="38"/>
      <c r="J244" s="36"/>
      <c r="K244" s="36"/>
      <c r="L244" s="36"/>
      <c r="M244" s="36"/>
      <c r="N244" s="36"/>
      <c r="O244" s="36"/>
      <c r="P244" s="9"/>
      <c r="Q244" s="36"/>
      <c r="R244" s="9"/>
      <c r="S244" s="9"/>
      <c r="T244" s="39"/>
      <c r="U244" s="39"/>
      <c r="V244" s="36"/>
      <c r="W244" s="9"/>
      <c r="X244" s="9"/>
      <c r="Y244" s="9"/>
      <c r="Z244" s="9"/>
      <c r="AA244" s="9"/>
      <c r="AB244" s="9"/>
      <c r="AC244" s="9"/>
      <c r="AD244" s="37"/>
      <c r="AE244" s="38"/>
      <c r="AF244" s="39"/>
      <c r="AG244" s="39"/>
      <c r="AH244" s="9"/>
      <c r="AI244" s="9"/>
      <c r="AJ244" s="9"/>
      <c r="AK244" s="9"/>
      <c r="AL244" s="9"/>
      <c r="AM244" s="40"/>
      <c r="AN244" s="10" t="str">
        <f aca="false">IF(C244="","",C244&amp;"|"&amp;D244&amp;"|"&amp;E244&amp;"|"&amp;F244&amp;"|"&amp;Y244)</f>
        <v/>
      </c>
    </row>
    <row r="245" customFormat="false" ht="15" hidden="false" customHeight="false" outlineLevel="0" collapsed="false">
      <c r="A245" s="10" t="str">
        <f aca="false">IF(C245="","","RW-"&amp;IFERROR(VLOOKUP(C245,Lists!$M$4:$N$23,2,0),"??")&amp;"-H"&amp;TEXT(D245*1000,"0000")&amp;"-S"&amp;E245&amp;IF(F245="Y","-GW","")&amp;"-"&amp;X245)</f>
        <v/>
      </c>
      <c r="B245" s="10" t="str">
        <f aca="false">IF(C245="","",C245&amp;", H = "&amp;TEXT(D245,"0.0")&amp;" m, q = "&amp;E245&amp;" kPa"&amp;IF(F245="Y",", with GWT",""))</f>
        <v/>
      </c>
      <c r="C245" s="9"/>
      <c r="D245" s="39"/>
      <c r="E245" s="36"/>
      <c r="F245" s="9"/>
      <c r="G245" s="9"/>
      <c r="H245" s="36"/>
      <c r="I245" s="38"/>
      <c r="J245" s="36"/>
      <c r="K245" s="36"/>
      <c r="L245" s="36"/>
      <c r="M245" s="36"/>
      <c r="N245" s="36"/>
      <c r="O245" s="36"/>
      <c r="P245" s="9"/>
      <c r="Q245" s="36"/>
      <c r="R245" s="9"/>
      <c r="S245" s="9"/>
      <c r="T245" s="39"/>
      <c r="U245" s="39"/>
      <c r="V245" s="36"/>
      <c r="W245" s="9"/>
      <c r="X245" s="9"/>
      <c r="Y245" s="9"/>
      <c r="Z245" s="9"/>
      <c r="AA245" s="9"/>
      <c r="AB245" s="9"/>
      <c r="AC245" s="9"/>
      <c r="AD245" s="37"/>
      <c r="AE245" s="38"/>
      <c r="AF245" s="39"/>
      <c r="AG245" s="39"/>
      <c r="AH245" s="9"/>
      <c r="AI245" s="9"/>
      <c r="AJ245" s="9"/>
      <c r="AK245" s="9"/>
      <c r="AL245" s="9"/>
      <c r="AM245" s="40"/>
      <c r="AN245" s="10" t="str">
        <f aca="false">IF(C245="","",C245&amp;"|"&amp;D245&amp;"|"&amp;E245&amp;"|"&amp;F245&amp;"|"&amp;Y245)</f>
        <v/>
      </c>
    </row>
    <row r="246" customFormat="false" ht="15" hidden="false" customHeight="false" outlineLevel="0" collapsed="false">
      <c r="A246" s="10" t="str">
        <f aca="false">IF(C246="","","RW-"&amp;IFERROR(VLOOKUP(C246,Lists!$M$4:$N$23,2,0),"??")&amp;"-H"&amp;TEXT(D246*1000,"0000")&amp;"-S"&amp;E246&amp;IF(F246="Y","-GW","")&amp;"-"&amp;X246)</f>
        <v/>
      </c>
      <c r="B246" s="10" t="str">
        <f aca="false">IF(C246="","",C246&amp;", H = "&amp;TEXT(D246,"0.0")&amp;" m, q = "&amp;E246&amp;" kPa"&amp;IF(F246="Y",", with GWT",""))</f>
        <v/>
      </c>
      <c r="C246" s="9"/>
      <c r="D246" s="39"/>
      <c r="E246" s="36"/>
      <c r="F246" s="9"/>
      <c r="G246" s="9"/>
      <c r="H246" s="36"/>
      <c r="I246" s="38"/>
      <c r="J246" s="36"/>
      <c r="K246" s="36"/>
      <c r="L246" s="36"/>
      <c r="M246" s="36"/>
      <c r="N246" s="36"/>
      <c r="O246" s="36"/>
      <c r="P246" s="9"/>
      <c r="Q246" s="36"/>
      <c r="R246" s="9"/>
      <c r="S246" s="9"/>
      <c r="T246" s="39"/>
      <c r="U246" s="39"/>
      <c r="V246" s="36"/>
      <c r="W246" s="9"/>
      <c r="X246" s="9"/>
      <c r="Y246" s="9"/>
      <c r="Z246" s="9"/>
      <c r="AA246" s="9"/>
      <c r="AB246" s="9"/>
      <c r="AC246" s="9"/>
      <c r="AD246" s="37"/>
      <c r="AE246" s="38"/>
      <c r="AF246" s="39"/>
      <c r="AG246" s="39"/>
      <c r="AH246" s="9"/>
      <c r="AI246" s="9"/>
      <c r="AJ246" s="9"/>
      <c r="AK246" s="9"/>
      <c r="AL246" s="9"/>
      <c r="AM246" s="40"/>
      <c r="AN246" s="10" t="str">
        <f aca="false">IF(C246="","",C246&amp;"|"&amp;D246&amp;"|"&amp;E246&amp;"|"&amp;F246&amp;"|"&amp;Y246)</f>
        <v/>
      </c>
    </row>
    <row r="247" customFormat="false" ht="15" hidden="false" customHeight="false" outlineLevel="0" collapsed="false">
      <c r="A247" s="10" t="str">
        <f aca="false">IF(C247="","","RW-"&amp;IFERROR(VLOOKUP(C247,Lists!$M$4:$N$23,2,0),"??")&amp;"-H"&amp;TEXT(D247*1000,"0000")&amp;"-S"&amp;E247&amp;IF(F247="Y","-GW","")&amp;"-"&amp;X247)</f>
        <v/>
      </c>
      <c r="B247" s="10" t="str">
        <f aca="false">IF(C247="","",C247&amp;", H = "&amp;TEXT(D247,"0.0")&amp;" m, q = "&amp;E247&amp;" kPa"&amp;IF(F247="Y",", with GWT",""))</f>
        <v/>
      </c>
      <c r="C247" s="9"/>
      <c r="D247" s="39"/>
      <c r="E247" s="36"/>
      <c r="F247" s="9"/>
      <c r="G247" s="9"/>
      <c r="H247" s="36"/>
      <c r="I247" s="38"/>
      <c r="J247" s="36"/>
      <c r="K247" s="36"/>
      <c r="L247" s="36"/>
      <c r="M247" s="36"/>
      <c r="N247" s="36"/>
      <c r="O247" s="36"/>
      <c r="P247" s="9"/>
      <c r="Q247" s="36"/>
      <c r="R247" s="9"/>
      <c r="S247" s="9"/>
      <c r="T247" s="39"/>
      <c r="U247" s="39"/>
      <c r="V247" s="36"/>
      <c r="W247" s="9"/>
      <c r="X247" s="9"/>
      <c r="Y247" s="9"/>
      <c r="Z247" s="9"/>
      <c r="AA247" s="9"/>
      <c r="AB247" s="9"/>
      <c r="AC247" s="9"/>
      <c r="AD247" s="37"/>
      <c r="AE247" s="38"/>
      <c r="AF247" s="39"/>
      <c r="AG247" s="39"/>
      <c r="AH247" s="9"/>
      <c r="AI247" s="9"/>
      <c r="AJ247" s="9"/>
      <c r="AK247" s="9"/>
      <c r="AL247" s="9"/>
      <c r="AM247" s="40"/>
      <c r="AN247" s="10" t="str">
        <f aca="false">IF(C247="","",C247&amp;"|"&amp;D247&amp;"|"&amp;E247&amp;"|"&amp;F247&amp;"|"&amp;Y247)</f>
        <v/>
      </c>
    </row>
    <row r="248" customFormat="false" ht="15" hidden="false" customHeight="false" outlineLevel="0" collapsed="false">
      <c r="A248" s="10" t="str">
        <f aca="false">IF(C248="","","RW-"&amp;IFERROR(VLOOKUP(C248,Lists!$M$4:$N$23,2,0),"??")&amp;"-H"&amp;TEXT(D248*1000,"0000")&amp;"-S"&amp;E248&amp;IF(F248="Y","-GW","")&amp;"-"&amp;X248)</f>
        <v/>
      </c>
      <c r="B248" s="10" t="str">
        <f aca="false">IF(C248="","",C248&amp;", H = "&amp;TEXT(D248,"0.0")&amp;" m, q = "&amp;E248&amp;" kPa"&amp;IF(F248="Y",", with GWT",""))</f>
        <v/>
      </c>
      <c r="C248" s="9"/>
      <c r="D248" s="39"/>
      <c r="E248" s="36"/>
      <c r="F248" s="9"/>
      <c r="G248" s="9"/>
      <c r="H248" s="36"/>
      <c r="I248" s="38"/>
      <c r="J248" s="36"/>
      <c r="K248" s="36"/>
      <c r="L248" s="36"/>
      <c r="M248" s="36"/>
      <c r="N248" s="36"/>
      <c r="O248" s="36"/>
      <c r="P248" s="9"/>
      <c r="Q248" s="36"/>
      <c r="R248" s="9"/>
      <c r="S248" s="9"/>
      <c r="T248" s="39"/>
      <c r="U248" s="39"/>
      <c r="V248" s="36"/>
      <c r="W248" s="9"/>
      <c r="X248" s="9"/>
      <c r="Y248" s="9"/>
      <c r="Z248" s="9"/>
      <c r="AA248" s="9"/>
      <c r="AB248" s="9"/>
      <c r="AC248" s="9"/>
      <c r="AD248" s="37"/>
      <c r="AE248" s="38"/>
      <c r="AF248" s="39"/>
      <c r="AG248" s="39"/>
      <c r="AH248" s="9"/>
      <c r="AI248" s="9"/>
      <c r="AJ248" s="9"/>
      <c r="AK248" s="9"/>
      <c r="AL248" s="9"/>
      <c r="AM248" s="40"/>
      <c r="AN248" s="10" t="str">
        <f aca="false">IF(C248="","",C248&amp;"|"&amp;D248&amp;"|"&amp;E248&amp;"|"&amp;F248&amp;"|"&amp;Y248)</f>
        <v/>
      </c>
    </row>
    <row r="249" customFormat="false" ht="15" hidden="false" customHeight="false" outlineLevel="0" collapsed="false">
      <c r="A249" s="10" t="str">
        <f aca="false">IF(C249="","","RW-"&amp;IFERROR(VLOOKUP(C249,Lists!$M$4:$N$23,2,0),"??")&amp;"-H"&amp;TEXT(D249*1000,"0000")&amp;"-S"&amp;E249&amp;IF(F249="Y","-GW","")&amp;"-"&amp;X249)</f>
        <v/>
      </c>
      <c r="B249" s="10" t="str">
        <f aca="false">IF(C249="","",C249&amp;", H = "&amp;TEXT(D249,"0.0")&amp;" m, q = "&amp;E249&amp;" kPa"&amp;IF(F249="Y",", with GWT",""))</f>
        <v/>
      </c>
      <c r="C249" s="9"/>
      <c r="D249" s="39"/>
      <c r="E249" s="36"/>
      <c r="F249" s="9"/>
      <c r="G249" s="9"/>
      <c r="H249" s="36"/>
      <c r="I249" s="38"/>
      <c r="J249" s="36"/>
      <c r="K249" s="36"/>
      <c r="L249" s="36"/>
      <c r="M249" s="36"/>
      <c r="N249" s="36"/>
      <c r="O249" s="36"/>
      <c r="P249" s="9"/>
      <c r="Q249" s="36"/>
      <c r="R249" s="9"/>
      <c r="S249" s="9"/>
      <c r="T249" s="39"/>
      <c r="U249" s="39"/>
      <c r="V249" s="36"/>
      <c r="W249" s="9"/>
      <c r="X249" s="9"/>
      <c r="Y249" s="9"/>
      <c r="Z249" s="9"/>
      <c r="AA249" s="9"/>
      <c r="AB249" s="9"/>
      <c r="AC249" s="9"/>
      <c r="AD249" s="37"/>
      <c r="AE249" s="38"/>
      <c r="AF249" s="39"/>
      <c r="AG249" s="39"/>
      <c r="AH249" s="9"/>
      <c r="AI249" s="9"/>
      <c r="AJ249" s="9"/>
      <c r="AK249" s="9"/>
      <c r="AL249" s="9"/>
      <c r="AM249" s="40"/>
      <c r="AN249" s="10" t="str">
        <f aca="false">IF(C249="","",C249&amp;"|"&amp;D249&amp;"|"&amp;E249&amp;"|"&amp;F249&amp;"|"&amp;Y249)</f>
        <v/>
      </c>
    </row>
    <row r="250" customFormat="false" ht="15" hidden="false" customHeight="false" outlineLevel="0" collapsed="false">
      <c r="A250" s="10" t="str">
        <f aca="false">IF(C250="","","RW-"&amp;IFERROR(VLOOKUP(C250,Lists!$M$4:$N$23,2,0),"??")&amp;"-H"&amp;TEXT(D250*1000,"0000")&amp;"-S"&amp;E250&amp;IF(F250="Y","-GW","")&amp;"-"&amp;X250)</f>
        <v/>
      </c>
      <c r="B250" s="10" t="str">
        <f aca="false">IF(C250="","",C250&amp;", H = "&amp;TEXT(D250,"0.0")&amp;" m, q = "&amp;E250&amp;" kPa"&amp;IF(F250="Y",", with GWT",""))</f>
        <v/>
      </c>
      <c r="C250" s="9"/>
      <c r="D250" s="39"/>
      <c r="E250" s="36"/>
      <c r="F250" s="9"/>
      <c r="G250" s="9"/>
      <c r="H250" s="36"/>
      <c r="I250" s="38"/>
      <c r="J250" s="36"/>
      <c r="K250" s="36"/>
      <c r="L250" s="36"/>
      <c r="M250" s="36"/>
      <c r="N250" s="36"/>
      <c r="O250" s="36"/>
      <c r="P250" s="9"/>
      <c r="Q250" s="36"/>
      <c r="R250" s="9"/>
      <c r="S250" s="9"/>
      <c r="T250" s="39"/>
      <c r="U250" s="39"/>
      <c r="V250" s="36"/>
      <c r="W250" s="9"/>
      <c r="X250" s="9"/>
      <c r="Y250" s="9"/>
      <c r="Z250" s="9"/>
      <c r="AA250" s="9"/>
      <c r="AB250" s="9"/>
      <c r="AC250" s="9"/>
      <c r="AD250" s="37"/>
      <c r="AE250" s="38"/>
      <c r="AF250" s="39"/>
      <c r="AG250" s="39"/>
      <c r="AH250" s="9"/>
      <c r="AI250" s="9"/>
      <c r="AJ250" s="9"/>
      <c r="AK250" s="9"/>
      <c r="AL250" s="9"/>
      <c r="AM250" s="40"/>
      <c r="AN250" s="10" t="str">
        <f aca="false">IF(C250="","",C250&amp;"|"&amp;D250&amp;"|"&amp;E250&amp;"|"&amp;F250&amp;"|"&amp;Y250)</f>
        <v/>
      </c>
    </row>
    <row r="251" customFormat="false" ht="15" hidden="false" customHeight="false" outlineLevel="0" collapsed="false">
      <c r="A251" s="10" t="str">
        <f aca="false">IF(C251="","","RW-"&amp;IFERROR(VLOOKUP(C251,Lists!$M$4:$N$23,2,0),"??")&amp;"-H"&amp;TEXT(D251*1000,"0000")&amp;"-S"&amp;E251&amp;IF(F251="Y","-GW","")&amp;"-"&amp;X251)</f>
        <v/>
      </c>
      <c r="B251" s="10" t="str">
        <f aca="false">IF(C251="","",C251&amp;", H = "&amp;TEXT(D251,"0.0")&amp;" m, q = "&amp;E251&amp;" kPa"&amp;IF(F251="Y",", with GWT",""))</f>
        <v/>
      </c>
      <c r="C251" s="9"/>
      <c r="D251" s="39"/>
      <c r="E251" s="36"/>
      <c r="F251" s="9"/>
      <c r="G251" s="9"/>
      <c r="H251" s="36"/>
      <c r="I251" s="38"/>
      <c r="J251" s="36"/>
      <c r="K251" s="36"/>
      <c r="L251" s="36"/>
      <c r="M251" s="36"/>
      <c r="N251" s="36"/>
      <c r="O251" s="36"/>
      <c r="P251" s="9"/>
      <c r="Q251" s="36"/>
      <c r="R251" s="9"/>
      <c r="S251" s="9"/>
      <c r="T251" s="39"/>
      <c r="U251" s="39"/>
      <c r="V251" s="36"/>
      <c r="W251" s="9"/>
      <c r="X251" s="9"/>
      <c r="Y251" s="9"/>
      <c r="Z251" s="9"/>
      <c r="AA251" s="9"/>
      <c r="AB251" s="9"/>
      <c r="AC251" s="9"/>
      <c r="AD251" s="37"/>
      <c r="AE251" s="38"/>
      <c r="AF251" s="39"/>
      <c r="AG251" s="39"/>
      <c r="AH251" s="9"/>
      <c r="AI251" s="9"/>
      <c r="AJ251" s="9"/>
      <c r="AK251" s="9"/>
      <c r="AL251" s="9"/>
      <c r="AM251" s="40"/>
      <c r="AN251" s="10" t="str">
        <f aca="false">IF(C251="","",C251&amp;"|"&amp;D251&amp;"|"&amp;E251&amp;"|"&amp;F251&amp;"|"&amp;Y251)</f>
        <v/>
      </c>
    </row>
    <row r="252" customFormat="false" ht="15" hidden="false" customHeight="false" outlineLevel="0" collapsed="false">
      <c r="A252" s="10" t="str">
        <f aca="false">IF(C252="","","RW-"&amp;IFERROR(VLOOKUP(C252,Lists!$M$4:$N$23,2,0),"??")&amp;"-H"&amp;TEXT(D252*1000,"0000")&amp;"-S"&amp;E252&amp;IF(F252="Y","-GW","")&amp;"-"&amp;X252)</f>
        <v/>
      </c>
      <c r="B252" s="10" t="str">
        <f aca="false">IF(C252="","",C252&amp;", H = "&amp;TEXT(D252,"0.0")&amp;" m, q = "&amp;E252&amp;" kPa"&amp;IF(F252="Y",", with GWT",""))</f>
        <v/>
      </c>
      <c r="C252" s="9"/>
      <c r="D252" s="39"/>
      <c r="E252" s="36"/>
      <c r="F252" s="9"/>
      <c r="G252" s="9"/>
      <c r="H252" s="36"/>
      <c r="I252" s="38"/>
      <c r="J252" s="36"/>
      <c r="K252" s="36"/>
      <c r="L252" s="36"/>
      <c r="M252" s="36"/>
      <c r="N252" s="36"/>
      <c r="O252" s="36"/>
      <c r="P252" s="9"/>
      <c r="Q252" s="36"/>
      <c r="R252" s="9"/>
      <c r="S252" s="9"/>
      <c r="T252" s="39"/>
      <c r="U252" s="39"/>
      <c r="V252" s="36"/>
      <c r="W252" s="9"/>
      <c r="X252" s="9"/>
      <c r="Y252" s="9"/>
      <c r="Z252" s="9"/>
      <c r="AA252" s="9"/>
      <c r="AB252" s="9"/>
      <c r="AC252" s="9"/>
      <c r="AD252" s="37"/>
      <c r="AE252" s="38"/>
      <c r="AF252" s="39"/>
      <c r="AG252" s="39"/>
      <c r="AH252" s="9"/>
      <c r="AI252" s="9"/>
      <c r="AJ252" s="9"/>
      <c r="AK252" s="9"/>
      <c r="AL252" s="9"/>
      <c r="AM252" s="40"/>
      <c r="AN252" s="10" t="str">
        <f aca="false">IF(C252="","",C252&amp;"|"&amp;D252&amp;"|"&amp;E252&amp;"|"&amp;F252&amp;"|"&amp;Y252)</f>
        <v/>
      </c>
    </row>
    <row r="253" customFormat="false" ht="15" hidden="false" customHeight="false" outlineLevel="0" collapsed="false">
      <c r="A253" s="10" t="str">
        <f aca="false">IF(C253="","","RW-"&amp;IFERROR(VLOOKUP(C253,Lists!$M$4:$N$23,2,0),"??")&amp;"-H"&amp;TEXT(D253*1000,"0000")&amp;"-S"&amp;E253&amp;IF(F253="Y","-GW","")&amp;"-"&amp;X253)</f>
        <v/>
      </c>
      <c r="B253" s="10" t="str">
        <f aca="false">IF(C253="","",C253&amp;", H = "&amp;TEXT(D253,"0.0")&amp;" m, q = "&amp;E253&amp;" kPa"&amp;IF(F253="Y",", with GWT",""))</f>
        <v/>
      </c>
      <c r="C253" s="9"/>
      <c r="D253" s="39"/>
      <c r="E253" s="36"/>
      <c r="F253" s="9"/>
      <c r="G253" s="9"/>
      <c r="H253" s="36"/>
      <c r="I253" s="38"/>
      <c r="J253" s="36"/>
      <c r="K253" s="36"/>
      <c r="L253" s="36"/>
      <c r="M253" s="36"/>
      <c r="N253" s="36"/>
      <c r="O253" s="36"/>
      <c r="P253" s="9"/>
      <c r="Q253" s="36"/>
      <c r="R253" s="9"/>
      <c r="S253" s="9"/>
      <c r="T253" s="39"/>
      <c r="U253" s="39"/>
      <c r="V253" s="36"/>
      <c r="W253" s="9"/>
      <c r="X253" s="9"/>
      <c r="Y253" s="9"/>
      <c r="Z253" s="9"/>
      <c r="AA253" s="9"/>
      <c r="AB253" s="9"/>
      <c r="AC253" s="9"/>
      <c r="AD253" s="37"/>
      <c r="AE253" s="38"/>
      <c r="AF253" s="39"/>
      <c r="AG253" s="39"/>
      <c r="AH253" s="9"/>
      <c r="AI253" s="9"/>
      <c r="AJ253" s="9"/>
      <c r="AK253" s="9"/>
      <c r="AL253" s="9"/>
      <c r="AM253" s="40"/>
      <c r="AN253" s="10" t="str">
        <f aca="false">IF(C253="","",C253&amp;"|"&amp;D253&amp;"|"&amp;E253&amp;"|"&amp;F253&amp;"|"&amp;Y253)</f>
        <v/>
      </c>
    </row>
    <row r="254" customFormat="false" ht="15" hidden="false" customHeight="false" outlineLevel="0" collapsed="false">
      <c r="A254" s="10" t="str">
        <f aca="false">IF(C254="","","RW-"&amp;IFERROR(VLOOKUP(C254,Lists!$M$4:$N$23,2,0),"??")&amp;"-H"&amp;TEXT(D254*1000,"0000")&amp;"-S"&amp;E254&amp;IF(F254="Y","-GW","")&amp;"-"&amp;X254)</f>
        <v/>
      </c>
      <c r="B254" s="10" t="str">
        <f aca="false">IF(C254="","",C254&amp;", H = "&amp;TEXT(D254,"0.0")&amp;" m, q = "&amp;E254&amp;" kPa"&amp;IF(F254="Y",", with GWT",""))</f>
        <v/>
      </c>
      <c r="C254" s="9"/>
      <c r="D254" s="39"/>
      <c r="E254" s="36"/>
      <c r="F254" s="9"/>
      <c r="G254" s="9"/>
      <c r="H254" s="36"/>
      <c r="I254" s="38"/>
      <c r="J254" s="36"/>
      <c r="K254" s="36"/>
      <c r="L254" s="36"/>
      <c r="M254" s="36"/>
      <c r="N254" s="36"/>
      <c r="O254" s="36"/>
      <c r="P254" s="9"/>
      <c r="Q254" s="36"/>
      <c r="R254" s="9"/>
      <c r="S254" s="9"/>
      <c r="T254" s="39"/>
      <c r="U254" s="39"/>
      <c r="V254" s="36"/>
      <c r="W254" s="9"/>
      <c r="X254" s="9"/>
      <c r="Y254" s="9"/>
      <c r="Z254" s="9"/>
      <c r="AA254" s="9"/>
      <c r="AB254" s="9"/>
      <c r="AC254" s="9"/>
      <c r="AD254" s="37"/>
      <c r="AE254" s="38"/>
      <c r="AF254" s="39"/>
      <c r="AG254" s="39"/>
      <c r="AH254" s="9"/>
      <c r="AI254" s="9"/>
      <c r="AJ254" s="9"/>
      <c r="AK254" s="9"/>
      <c r="AL254" s="9"/>
      <c r="AM254" s="40"/>
      <c r="AN254" s="10" t="str">
        <f aca="false">IF(C254="","",C254&amp;"|"&amp;D254&amp;"|"&amp;E254&amp;"|"&amp;F254&amp;"|"&amp;Y254)</f>
        <v/>
      </c>
    </row>
    <row r="255" customFormat="false" ht="15" hidden="false" customHeight="false" outlineLevel="0" collapsed="false">
      <c r="A255" s="10" t="str">
        <f aca="false">IF(C255="","","RW-"&amp;IFERROR(VLOOKUP(C255,Lists!$M$4:$N$23,2,0),"??")&amp;"-H"&amp;TEXT(D255*1000,"0000")&amp;"-S"&amp;E255&amp;IF(F255="Y","-GW","")&amp;"-"&amp;X255)</f>
        <v/>
      </c>
      <c r="B255" s="10" t="str">
        <f aca="false">IF(C255="","",C255&amp;", H = "&amp;TEXT(D255,"0.0")&amp;" m, q = "&amp;E255&amp;" kPa"&amp;IF(F255="Y",", with GWT",""))</f>
        <v/>
      </c>
      <c r="C255" s="9"/>
      <c r="D255" s="39"/>
      <c r="E255" s="36"/>
      <c r="F255" s="9"/>
      <c r="G255" s="9"/>
      <c r="H255" s="36"/>
      <c r="I255" s="38"/>
      <c r="J255" s="36"/>
      <c r="K255" s="36"/>
      <c r="L255" s="36"/>
      <c r="M255" s="36"/>
      <c r="N255" s="36"/>
      <c r="O255" s="36"/>
      <c r="P255" s="9"/>
      <c r="Q255" s="36"/>
      <c r="R255" s="9"/>
      <c r="S255" s="9"/>
      <c r="T255" s="39"/>
      <c r="U255" s="39"/>
      <c r="V255" s="36"/>
      <c r="W255" s="9"/>
      <c r="X255" s="9"/>
      <c r="Y255" s="9"/>
      <c r="Z255" s="9"/>
      <c r="AA255" s="9"/>
      <c r="AB255" s="9"/>
      <c r="AC255" s="9"/>
      <c r="AD255" s="37"/>
      <c r="AE255" s="38"/>
      <c r="AF255" s="39"/>
      <c r="AG255" s="39"/>
      <c r="AH255" s="9"/>
      <c r="AI255" s="9"/>
      <c r="AJ255" s="9"/>
      <c r="AK255" s="9"/>
      <c r="AL255" s="9"/>
      <c r="AM255" s="40"/>
      <c r="AN255" s="10" t="str">
        <f aca="false">IF(C255="","",C255&amp;"|"&amp;D255&amp;"|"&amp;E255&amp;"|"&amp;F255&amp;"|"&amp;Y255)</f>
        <v/>
      </c>
    </row>
    <row r="256" customFormat="false" ht="15" hidden="false" customHeight="false" outlineLevel="0" collapsed="false">
      <c r="A256" s="10" t="str">
        <f aca="false">IF(C256="","","RW-"&amp;IFERROR(VLOOKUP(C256,Lists!$M$4:$N$23,2,0),"??")&amp;"-H"&amp;TEXT(D256*1000,"0000")&amp;"-S"&amp;E256&amp;IF(F256="Y","-GW","")&amp;"-"&amp;X256)</f>
        <v/>
      </c>
      <c r="B256" s="10" t="str">
        <f aca="false">IF(C256="","",C256&amp;", H = "&amp;TEXT(D256,"0.0")&amp;" m, q = "&amp;E256&amp;" kPa"&amp;IF(F256="Y",", with GWT",""))</f>
        <v/>
      </c>
      <c r="C256" s="9"/>
      <c r="D256" s="39"/>
      <c r="E256" s="36"/>
      <c r="F256" s="9"/>
      <c r="G256" s="9"/>
      <c r="H256" s="36"/>
      <c r="I256" s="38"/>
      <c r="J256" s="36"/>
      <c r="K256" s="36"/>
      <c r="L256" s="36"/>
      <c r="M256" s="36"/>
      <c r="N256" s="36"/>
      <c r="O256" s="36"/>
      <c r="P256" s="9"/>
      <c r="Q256" s="36"/>
      <c r="R256" s="9"/>
      <c r="S256" s="9"/>
      <c r="T256" s="39"/>
      <c r="U256" s="39"/>
      <c r="V256" s="36"/>
      <c r="W256" s="9"/>
      <c r="X256" s="9"/>
      <c r="Y256" s="9"/>
      <c r="Z256" s="9"/>
      <c r="AA256" s="9"/>
      <c r="AB256" s="9"/>
      <c r="AC256" s="9"/>
      <c r="AD256" s="37"/>
      <c r="AE256" s="38"/>
      <c r="AF256" s="39"/>
      <c r="AG256" s="39"/>
      <c r="AH256" s="9"/>
      <c r="AI256" s="9"/>
      <c r="AJ256" s="9"/>
      <c r="AK256" s="9"/>
      <c r="AL256" s="9"/>
      <c r="AM256" s="40"/>
      <c r="AN256" s="10" t="str">
        <f aca="false">IF(C256="","",C256&amp;"|"&amp;D256&amp;"|"&amp;E256&amp;"|"&amp;F256&amp;"|"&amp;Y256)</f>
        <v/>
      </c>
    </row>
    <row r="257" customFormat="false" ht="15" hidden="false" customHeight="false" outlineLevel="0" collapsed="false">
      <c r="A257" s="10" t="str">
        <f aca="false">IF(C257="","","RW-"&amp;IFERROR(VLOOKUP(C257,Lists!$M$4:$N$23,2,0),"??")&amp;"-H"&amp;TEXT(D257*1000,"0000")&amp;"-S"&amp;E257&amp;IF(F257="Y","-GW","")&amp;"-"&amp;X257)</f>
        <v/>
      </c>
      <c r="B257" s="10" t="str">
        <f aca="false">IF(C257="","",C257&amp;", H = "&amp;TEXT(D257,"0.0")&amp;" m, q = "&amp;E257&amp;" kPa"&amp;IF(F257="Y",", with GWT",""))</f>
        <v/>
      </c>
      <c r="C257" s="9"/>
      <c r="D257" s="39"/>
      <c r="E257" s="36"/>
      <c r="F257" s="9"/>
      <c r="G257" s="9"/>
      <c r="H257" s="36"/>
      <c r="I257" s="38"/>
      <c r="J257" s="36"/>
      <c r="K257" s="36"/>
      <c r="L257" s="36"/>
      <c r="M257" s="36"/>
      <c r="N257" s="36"/>
      <c r="O257" s="36"/>
      <c r="P257" s="9"/>
      <c r="Q257" s="36"/>
      <c r="R257" s="9"/>
      <c r="S257" s="9"/>
      <c r="T257" s="39"/>
      <c r="U257" s="39"/>
      <c r="V257" s="36"/>
      <c r="W257" s="9"/>
      <c r="X257" s="9"/>
      <c r="Y257" s="9"/>
      <c r="Z257" s="9"/>
      <c r="AA257" s="9"/>
      <c r="AB257" s="9"/>
      <c r="AC257" s="9"/>
      <c r="AD257" s="37"/>
      <c r="AE257" s="38"/>
      <c r="AF257" s="39"/>
      <c r="AG257" s="39"/>
      <c r="AH257" s="9"/>
      <c r="AI257" s="9"/>
      <c r="AJ257" s="9"/>
      <c r="AK257" s="9"/>
      <c r="AL257" s="9"/>
      <c r="AM257" s="40"/>
      <c r="AN257" s="10" t="str">
        <f aca="false">IF(C257="","",C257&amp;"|"&amp;D257&amp;"|"&amp;E257&amp;"|"&amp;F257&amp;"|"&amp;Y257)</f>
        <v/>
      </c>
    </row>
    <row r="258" customFormat="false" ht="15" hidden="false" customHeight="false" outlineLevel="0" collapsed="false">
      <c r="A258" s="10" t="str">
        <f aca="false">IF(C258="","","RW-"&amp;IFERROR(VLOOKUP(C258,Lists!$M$4:$N$23,2,0),"??")&amp;"-H"&amp;TEXT(D258*1000,"0000")&amp;"-S"&amp;E258&amp;IF(F258="Y","-GW","")&amp;"-"&amp;X258)</f>
        <v/>
      </c>
      <c r="B258" s="10" t="str">
        <f aca="false">IF(C258="","",C258&amp;", H = "&amp;TEXT(D258,"0.0")&amp;" m, q = "&amp;E258&amp;" kPa"&amp;IF(F258="Y",", with GWT",""))</f>
        <v/>
      </c>
      <c r="C258" s="9"/>
      <c r="D258" s="39"/>
      <c r="E258" s="36"/>
      <c r="F258" s="9"/>
      <c r="G258" s="9"/>
      <c r="H258" s="36"/>
      <c r="I258" s="38"/>
      <c r="J258" s="36"/>
      <c r="K258" s="36"/>
      <c r="L258" s="36"/>
      <c r="M258" s="36"/>
      <c r="N258" s="36"/>
      <c r="O258" s="36"/>
      <c r="P258" s="9"/>
      <c r="Q258" s="36"/>
      <c r="R258" s="9"/>
      <c r="S258" s="9"/>
      <c r="T258" s="39"/>
      <c r="U258" s="39"/>
      <c r="V258" s="36"/>
      <c r="W258" s="9"/>
      <c r="X258" s="9"/>
      <c r="Y258" s="9"/>
      <c r="Z258" s="9"/>
      <c r="AA258" s="9"/>
      <c r="AB258" s="9"/>
      <c r="AC258" s="9"/>
      <c r="AD258" s="37"/>
      <c r="AE258" s="38"/>
      <c r="AF258" s="39"/>
      <c r="AG258" s="39"/>
      <c r="AH258" s="9"/>
      <c r="AI258" s="9"/>
      <c r="AJ258" s="9"/>
      <c r="AK258" s="9"/>
      <c r="AL258" s="9"/>
      <c r="AM258" s="40"/>
      <c r="AN258" s="10" t="str">
        <f aca="false">IF(C258="","",C258&amp;"|"&amp;D258&amp;"|"&amp;E258&amp;"|"&amp;F258&amp;"|"&amp;Y258)</f>
        <v/>
      </c>
    </row>
    <row r="259" customFormat="false" ht="15" hidden="false" customHeight="false" outlineLevel="0" collapsed="false">
      <c r="A259" s="10" t="str">
        <f aca="false">IF(C259="","","RW-"&amp;IFERROR(VLOOKUP(C259,Lists!$M$4:$N$23,2,0),"??")&amp;"-H"&amp;TEXT(D259*1000,"0000")&amp;"-S"&amp;E259&amp;IF(F259="Y","-GW","")&amp;"-"&amp;X259)</f>
        <v/>
      </c>
      <c r="B259" s="10" t="str">
        <f aca="false">IF(C259="","",C259&amp;", H = "&amp;TEXT(D259,"0.0")&amp;" m, q = "&amp;E259&amp;" kPa"&amp;IF(F259="Y",", with GWT",""))</f>
        <v/>
      </c>
      <c r="C259" s="9"/>
      <c r="D259" s="39"/>
      <c r="E259" s="36"/>
      <c r="F259" s="9"/>
      <c r="G259" s="9"/>
      <c r="H259" s="36"/>
      <c r="I259" s="38"/>
      <c r="J259" s="36"/>
      <c r="K259" s="36"/>
      <c r="L259" s="36"/>
      <c r="M259" s="36"/>
      <c r="N259" s="36"/>
      <c r="O259" s="36"/>
      <c r="P259" s="9"/>
      <c r="Q259" s="36"/>
      <c r="R259" s="9"/>
      <c r="S259" s="9"/>
      <c r="T259" s="39"/>
      <c r="U259" s="39"/>
      <c r="V259" s="36"/>
      <c r="W259" s="9"/>
      <c r="X259" s="9"/>
      <c r="Y259" s="9"/>
      <c r="Z259" s="9"/>
      <c r="AA259" s="9"/>
      <c r="AB259" s="9"/>
      <c r="AC259" s="9"/>
      <c r="AD259" s="37"/>
      <c r="AE259" s="38"/>
      <c r="AF259" s="39"/>
      <c r="AG259" s="39"/>
      <c r="AH259" s="9"/>
      <c r="AI259" s="9"/>
      <c r="AJ259" s="9"/>
      <c r="AK259" s="9"/>
      <c r="AL259" s="9"/>
      <c r="AM259" s="40"/>
      <c r="AN259" s="10" t="str">
        <f aca="false">IF(C259="","",C259&amp;"|"&amp;D259&amp;"|"&amp;E259&amp;"|"&amp;F259&amp;"|"&amp;Y259)</f>
        <v/>
      </c>
    </row>
    <row r="260" customFormat="false" ht="15" hidden="false" customHeight="false" outlineLevel="0" collapsed="false">
      <c r="A260" s="10" t="str">
        <f aca="false">IF(C260="","","RW-"&amp;IFERROR(VLOOKUP(C260,Lists!$M$4:$N$23,2,0),"??")&amp;"-H"&amp;TEXT(D260*1000,"0000")&amp;"-S"&amp;E260&amp;IF(F260="Y","-GW","")&amp;"-"&amp;X260)</f>
        <v/>
      </c>
      <c r="B260" s="10" t="str">
        <f aca="false">IF(C260="","",C260&amp;", H = "&amp;TEXT(D260,"0.0")&amp;" m, q = "&amp;E260&amp;" kPa"&amp;IF(F260="Y",", with GWT",""))</f>
        <v/>
      </c>
      <c r="C260" s="9"/>
      <c r="D260" s="39"/>
      <c r="E260" s="36"/>
      <c r="F260" s="9"/>
      <c r="G260" s="9"/>
      <c r="H260" s="36"/>
      <c r="I260" s="38"/>
      <c r="J260" s="36"/>
      <c r="K260" s="36"/>
      <c r="L260" s="36"/>
      <c r="M260" s="36"/>
      <c r="N260" s="36"/>
      <c r="O260" s="36"/>
      <c r="P260" s="9"/>
      <c r="Q260" s="36"/>
      <c r="R260" s="9"/>
      <c r="S260" s="9"/>
      <c r="T260" s="39"/>
      <c r="U260" s="39"/>
      <c r="V260" s="36"/>
      <c r="W260" s="9"/>
      <c r="X260" s="9"/>
      <c r="Y260" s="9"/>
      <c r="Z260" s="9"/>
      <c r="AA260" s="9"/>
      <c r="AB260" s="9"/>
      <c r="AC260" s="9"/>
      <c r="AD260" s="37"/>
      <c r="AE260" s="38"/>
      <c r="AF260" s="39"/>
      <c r="AG260" s="39"/>
      <c r="AH260" s="9"/>
      <c r="AI260" s="9"/>
      <c r="AJ260" s="9"/>
      <c r="AK260" s="9"/>
      <c r="AL260" s="9"/>
      <c r="AM260" s="40"/>
      <c r="AN260" s="10" t="str">
        <f aca="false">IF(C260="","",C260&amp;"|"&amp;D260&amp;"|"&amp;E260&amp;"|"&amp;F260&amp;"|"&amp;Y260)</f>
        <v/>
      </c>
    </row>
    <row r="261" customFormat="false" ht="15" hidden="false" customHeight="false" outlineLevel="0" collapsed="false">
      <c r="A261" s="10" t="str">
        <f aca="false">IF(C261="","","RW-"&amp;IFERROR(VLOOKUP(C261,Lists!$M$4:$N$23,2,0),"??")&amp;"-H"&amp;TEXT(D261*1000,"0000")&amp;"-S"&amp;E261&amp;IF(F261="Y","-GW","")&amp;"-"&amp;X261)</f>
        <v/>
      </c>
      <c r="B261" s="10" t="str">
        <f aca="false">IF(C261="","",C261&amp;", H = "&amp;TEXT(D261,"0.0")&amp;" m, q = "&amp;E261&amp;" kPa"&amp;IF(F261="Y",", with GWT",""))</f>
        <v/>
      </c>
      <c r="C261" s="9"/>
      <c r="D261" s="39"/>
      <c r="E261" s="36"/>
      <c r="F261" s="9"/>
      <c r="G261" s="9"/>
      <c r="H261" s="36"/>
      <c r="I261" s="38"/>
      <c r="J261" s="36"/>
      <c r="K261" s="36"/>
      <c r="L261" s="36"/>
      <c r="M261" s="36"/>
      <c r="N261" s="36"/>
      <c r="O261" s="36"/>
      <c r="P261" s="9"/>
      <c r="Q261" s="36"/>
      <c r="R261" s="9"/>
      <c r="S261" s="9"/>
      <c r="T261" s="39"/>
      <c r="U261" s="39"/>
      <c r="V261" s="36"/>
      <c r="W261" s="9"/>
      <c r="X261" s="9"/>
      <c r="Y261" s="9"/>
      <c r="Z261" s="9"/>
      <c r="AA261" s="9"/>
      <c r="AB261" s="9"/>
      <c r="AC261" s="9"/>
      <c r="AD261" s="37"/>
      <c r="AE261" s="38"/>
      <c r="AF261" s="39"/>
      <c r="AG261" s="39"/>
      <c r="AH261" s="9"/>
      <c r="AI261" s="9"/>
      <c r="AJ261" s="9"/>
      <c r="AK261" s="9"/>
      <c r="AL261" s="9"/>
      <c r="AM261" s="40"/>
      <c r="AN261" s="10" t="str">
        <f aca="false">IF(C261="","",C261&amp;"|"&amp;D261&amp;"|"&amp;E261&amp;"|"&amp;F261&amp;"|"&amp;Y261)</f>
        <v/>
      </c>
    </row>
    <row r="262" customFormat="false" ht="15" hidden="false" customHeight="false" outlineLevel="0" collapsed="false">
      <c r="A262" s="10" t="str">
        <f aca="false">IF(C262="","","RW-"&amp;IFERROR(VLOOKUP(C262,Lists!$M$4:$N$23,2,0),"??")&amp;"-H"&amp;TEXT(D262*1000,"0000")&amp;"-S"&amp;E262&amp;IF(F262="Y","-GW","")&amp;"-"&amp;X262)</f>
        <v/>
      </c>
      <c r="B262" s="10" t="str">
        <f aca="false">IF(C262="","",C262&amp;", H = "&amp;TEXT(D262,"0.0")&amp;" m, q = "&amp;E262&amp;" kPa"&amp;IF(F262="Y",", with GWT",""))</f>
        <v/>
      </c>
      <c r="C262" s="9"/>
      <c r="D262" s="39"/>
      <c r="E262" s="36"/>
      <c r="F262" s="9"/>
      <c r="G262" s="9"/>
      <c r="H262" s="36"/>
      <c r="I262" s="38"/>
      <c r="J262" s="36"/>
      <c r="K262" s="36"/>
      <c r="L262" s="36"/>
      <c r="M262" s="36"/>
      <c r="N262" s="36"/>
      <c r="O262" s="36"/>
      <c r="P262" s="9"/>
      <c r="Q262" s="36"/>
      <c r="R262" s="9"/>
      <c r="S262" s="9"/>
      <c r="T262" s="39"/>
      <c r="U262" s="39"/>
      <c r="V262" s="36"/>
      <c r="W262" s="9"/>
      <c r="X262" s="9"/>
      <c r="Y262" s="9"/>
      <c r="Z262" s="9"/>
      <c r="AA262" s="9"/>
      <c r="AB262" s="9"/>
      <c r="AC262" s="9"/>
      <c r="AD262" s="37"/>
      <c r="AE262" s="38"/>
      <c r="AF262" s="39"/>
      <c r="AG262" s="39"/>
      <c r="AH262" s="9"/>
      <c r="AI262" s="9"/>
      <c r="AJ262" s="9"/>
      <c r="AK262" s="9"/>
      <c r="AL262" s="9"/>
      <c r="AM262" s="40"/>
      <c r="AN262" s="10" t="str">
        <f aca="false">IF(C262="","",C262&amp;"|"&amp;D262&amp;"|"&amp;E262&amp;"|"&amp;F262&amp;"|"&amp;Y262)</f>
        <v/>
      </c>
    </row>
    <row r="263" customFormat="false" ht="15" hidden="false" customHeight="false" outlineLevel="0" collapsed="false">
      <c r="A263" s="10" t="str">
        <f aca="false">IF(C263="","","RW-"&amp;IFERROR(VLOOKUP(C263,Lists!$M$4:$N$23,2,0),"??")&amp;"-H"&amp;TEXT(D263*1000,"0000")&amp;"-S"&amp;E263&amp;IF(F263="Y","-GW","")&amp;"-"&amp;X263)</f>
        <v/>
      </c>
      <c r="B263" s="10" t="str">
        <f aca="false">IF(C263="","",C263&amp;", H = "&amp;TEXT(D263,"0.0")&amp;" m, q = "&amp;E263&amp;" kPa"&amp;IF(F263="Y",", with GWT",""))</f>
        <v/>
      </c>
      <c r="C263" s="9"/>
      <c r="D263" s="39"/>
      <c r="E263" s="36"/>
      <c r="F263" s="9"/>
      <c r="G263" s="9"/>
      <c r="H263" s="36"/>
      <c r="I263" s="38"/>
      <c r="J263" s="36"/>
      <c r="K263" s="36"/>
      <c r="L263" s="36"/>
      <c r="M263" s="36"/>
      <c r="N263" s="36"/>
      <c r="O263" s="36"/>
      <c r="P263" s="9"/>
      <c r="Q263" s="36"/>
      <c r="R263" s="9"/>
      <c r="S263" s="9"/>
      <c r="T263" s="39"/>
      <c r="U263" s="39"/>
      <c r="V263" s="36"/>
      <c r="W263" s="9"/>
      <c r="X263" s="9"/>
      <c r="Y263" s="9"/>
      <c r="Z263" s="9"/>
      <c r="AA263" s="9"/>
      <c r="AB263" s="9"/>
      <c r="AC263" s="9"/>
      <c r="AD263" s="37"/>
      <c r="AE263" s="38"/>
      <c r="AF263" s="39"/>
      <c r="AG263" s="39"/>
      <c r="AH263" s="9"/>
      <c r="AI263" s="9"/>
      <c r="AJ263" s="9"/>
      <c r="AK263" s="9"/>
      <c r="AL263" s="9"/>
      <c r="AM263" s="40"/>
      <c r="AN263" s="10" t="str">
        <f aca="false">IF(C263="","",C263&amp;"|"&amp;D263&amp;"|"&amp;E263&amp;"|"&amp;F263&amp;"|"&amp;Y263)</f>
        <v/>
      </c>
    </row>
    <row r="264" customFormat="false" ht="15" hidden="false" customHeight="false" outlineLevel="0" collapsed="false">
      <c r="A264" s="10" t="str">
        <f aca="false">IF(C264="","","RW-"&amp;IFERROR(VLOOKUP(C264,Lists!$M$4:$N$23,2,0),"??")&amp;"-H"&amp;TEXT(D264*1000,"0000")&amp;"-S"&amp;E264&amp;IF(F264="Y","-GW","")&amp;"-"&amp;X264)</f>
        <v/>
      </c>
      <c r="B264" s="10" t="str">
        <f aca="false">IF(C264="","",C264&amp;", H = "&amp;TEXT(D264,"0.0")&amp;" m, q = "&amp;E264&amp;" kPa"&amp;IF(F264="Y",", with GWT",""))</f>
        <v/>
      </c>
      <c r="C264" s="9"/>
      <c r="D264" s="39"/>
      <c r="E264" s="36"/>
      <c r="F264" s="9"/>
      <c r="G264" s="9"/>
      <c r="H264" s="36"/>
      <c r="I264" s="38"/>
      <c r="J264" s="36"/>
      <c r="K264" s="36"/>
      <c r="L264" s="36"/>
      <c r="M264" s="36"/>
      <c r="N264" s="36"/>
      <c r="O264" s="36"/>
      <c r="P264" s="9"/>
      <c r="Q264" s="36"/>
      <c r="R264" s="9"/>
      <c r="S264" s="9"/>
      <c r="T264" s="39"/>
      <c r="U264" s="39"/>
      <c r="V264" s="36"/>
      <c r="W264" s="9"/>
      <c r="X264" s="9"/>
      <c r="Y264" s="9"/>
      <c r="Z264" s="9"/>
      <c r="AA264" s="9"/>
      <c r="AB264" s="9"/>
      <c r="AC264" s="9"/>
      <c r="AD264" s="37"/>
      <c r="AE264" s="38"/>
      <c r="AF264" s="39"/>
      <c r="AG264" s="39"/>
      <c r="AH264" s="9"/>
      <c r="AI264" s="9"/>
      <c r="AJ264" s="9"/>
      <c r="AK264" s="9"/>
      <c r="AL264" s="9"/>
      <c r="AM264" s="40"/>
      <c r="AN264" s="10" t="str">
        <f aca="false">IF(C264="","",C264&amp;"|"&amp;D264&amp;"|"&amp;E264&amp;"|"&amp;F264&amp;"|"&amp;Y264)</f>
        <v/>
      </c>
    </row>
    <row r="265" customFormat="false" ht="15" hidden="false" customHeight="false" outlineLevel="0" collapsed="false">
      <c r="A265" s="10" t="str">
        <f aca="false">IF(C265="","","RW-"&amp;IFERROR(VLOOKUP(C265,Lists!$M$4:$N$23,2,0),"??")&amp;"-H"&amp;TEXT(D265*1000,"0000")&amp;"-S"&amp;E265&amp;IF(F265="Y","-GW","")&amp;"-"&amp;X265)</f>
        <v/>
      </c>
      <c r="B265" s="10" t="str">
        <f aca="false">IF(C265="","",C265&amp;", H = "&amp;TEXT(D265,"0.0")&amp;" m, q = "&amp;E265&amp;" kPa"&amp;IF(F265="Y",", with GWT",""))</f>
        <v/>
      </c>
      <c r="C265" s="9"/>
      <c r="D265" s="39"/>
      <c r="E265" s="36"/>
      <c r="F265" s="9"/>
      <c r="G265" s="9"/>
      <c r="H265" s="36"/>
      <c r="I265" s="38"/>
      <c r="J265" s="36"/>
      <c r="K265" s="36"/>
      <c r="L265" s="36"/>
      <c r="M265" s="36"/>
      <c r="N265" s="36"/>
      <c r="O265" s="36"/>
      <c r="P265" s="9"/>
      <c r="Q265" s="36"/>
      <c r="R265" s="9"/>
      <c r="S265" s="9"/>
      <c r="T265" s="39"/>
      <c r="U265" s="39"/>
      <c r="V265" s="36"/>
      <c r="W265" s="9"/>
      <c r="X265" s="9"/>
      <c r="Y265" s="9"/>
      <c r="Z265" s="9"/>
      <c r="AA265" s="9"/>
      <c r="AB265" s="9"/>
      <c r="AC265" s="9"/>
      <c r="AD265" s="37"/>
      <c r="AE265" s="38"/>
      <c r="AF265" s="39"/>
      <c r="AG265" s="39"/>
      <c r="AH265" s="9"/>
      <c r="AI265" s="9"/>
      <c r="AJ265" s="9"/>
      <c r="AK265" s="9"/>
      <c r="AL265" s="9"/>
      <c r="AM265" s="40"/>
      <c r="AN265" s="10" t="str">
        <f aca="false">IF(C265="","",C265&amp;"|"&amp;D265&amp;"|"&amp;E265&amp;"|"&amp;F265&amp;"|"&amp;Y265)</f>
        <v/>
      </c>
    </row>
    <row r="266" customFormat="false" ht="15" hidden="false" customHeight="false" outlineLevel="0" collapsed="false">
      <c r="A266" s="10" t="str">
        <f aca="false">IF(C266="","","RW-"&amp;IFERROR(VLOOKUP(C266,Lists!$M$4:$N$23,2,0),"??")&amp;"-H"&amp;TEXT(D266*1000,"0000")&amp;"-S"&amp;E266&amp;IF(F266="Y","-GW","")&amp;"-"&amp;X266)</f>
        <v/>
      </c>
      <c r="B266" s="10" t="str">
        <f aca="false">IF(C266="","",C266&amp;", H = "&amp;TEXT(D266,"0.0")&amp;" m, q = "&amp;E266&amp;" kPa"&amp;IF(F266="Y",", with GWT",""))</f>
        <v/>
      </c>
      <c r="C266" s="9"/>
      <c r="D266" s="39"/>
      <c r="E266" s="36"/>
      <c r="F266" s="9"/>
      <c r="G266" s="9"/>
      <c r="H266" s="36"/>
      <c r="I266" s="38"/>
      <c r="J266" s="36"/>
      <c r="K266" s="36"/>
      <c r="L266" s="36"/>
      <c r="M266" s="36"/>
      <c r="N266" s="36"/>
      <c r="O266" s="36"/>
      <c r="P266" s="9"/>
      <c r="Q266" s="36"/>
      <c r="R266" s="9"/>
      <c r="S266" s="9"/>
      <c r="T266" s="39"/>
      <c r="U266" s="39"/>
      <c r="V266" s="36"/>
      <c r="W266" s="9"/>
      <c r="X266" s="9"/>
      <c r="Y266" s="9"/>
      <c r="Z266" s="9"/>
      <c r="AA266" s="9"/>
      <c r="AB266" s="9"/>
      <c r="AC266" s="9"/>
      <c r="AD266" s="37"/>
      <c r="AE266" s="38"/>
      <c r="AF266" s="39"/>
      <c r="AG266" s="39"/>
      <c r="AH266" s="9"/>
      <c r="AI266" s="9"/>
      <c r="AJ266" s="9"/>
      <c r="AK266" s="9"/>
      <c r="AL266" s="9"/>
      <c r="AM266" s="40"/>
      <c r="AN266" s="10" t="str">
        <f aca="false">IF(C266="","",C266&amp;"|"&amp;D266&amp;"|"&amp;E266&amp;"|"&amp;F266&amp;"|"&amp;Y266)</f>
        <v/>
      </c>
    </row>
    <row r="267" customFormat="false" ht="15" hidden="false" customHeight="false" outlineLevel="0" collapsed="false">
      <c r="A267" s="10" t="str">
        <f aca="false">IF(C267="","","RW-"&amp;IFERROR(VLOOKUP(C267,Lists!$M$4:$N$23,2,0),"??")&amp;"-H"&amp;TEXT(D267*1000,"0000")&amp;"-S"&amp;E267&amp;IF(F267="Y","-GW","")&amp;"-"&amp;X267)</f>
        <v/>
      </c>
      <c r="B267" s="10" t="str">
        <f aca="false">IF(C267="","",C267&amp;", H = "&amp;TEXT(D267,"0.0")&amp;" m, q = "&amp;E267&amp;" kPa"&amp;IF(F267="Y",", with GWT",""))</f>
        <v/>
      </c>
      <c r="C267" s="9"/>
      <c r="D267" s="39"/>
      <c r="E267" s="36"/>
      <c r="F267" s="9"/>
      <c r="G267" s="9"/>
      <c r="H267" s="36"/>
      <c r="I267" s="38"/>
      <c r="J267" s="36"/>
      <c r="K267" s="36"/>
      <c r="L267" s="36"/>
      <c r="M267" s="36"/>
      <c r="N267" s="36"/>
      <c r="O267" s="36"/>
      <c r="P267" s="9"/>
      <c r="Q267" s="36"/>
      <c r="R267" s="9"/>
      <c r="S267" s="9"/>
      <c r="T267" s="39"/>
      <c r="U267" s="39"/>
      <c r="V267" s="36"/>
      <c r="W267" s="9"/>
      <c r="X267" s="9"/>
      <c r="Y267" s="9"/>
      <c r="Z267" s="9"/>
      <c r="AA267" s="9"/>
      <c r="AB267" s="9"/>
      <c r="AC267" s="9"/>
      <c r="AD267" s="37"/>
      <c r="AE267" s="38"/>
      <c r="AF267" s="39"/>
      <c r="AG267" s="39"/>
      <c r="AH267" s="9"/>
      <c r="AI267" s="9"/>
      <c r="AJ267" s="9"/>
      <c r="AK267" s="9"/>
      <c r="AL267" s="9"/>
      <c r="AM267" s="40"/>
      <c r="AN267" s="10" t="str">
        <f aca="false">IF(C267="","",C267&amp;"|"&amp;D267&amp;"|"&amp;E267&amp;"|"&amp;F267&amp;"|"&amp;Y267)</f>
        <v/>
      </c>
    </row>
    <row r="268" customFormat="false" ht="15" hidden="false" customHeight="false" outlineLevel="0" collapsed="false">
      <c r="A268" s="10" t="str">
        <f aca="false">IF(C268="","","RW-"&amp;IFERROR(VLOOKUP(C268,Lists!$M$4:$N$23,2,0),"??")&amp;"-H"&amp;TEXT(D268*1000,"0000")&amp;"-S"&amp;E268&amp;IF(F268="Y","-GW","")&amp;"-"&amp;X268)</f>
        <v/>
      </c>
      <c r="B268" s="10" t="str">
        <f aca="false">IF(C268="","",C268&amp;", H = "&amp;TEXT(D268,"0.0")&amp;" m, q = "&amp;E268&amp;" kPa"&amp;IF(F268="Y",", with GWT",""))</f>
        <v/>
      </c>
      <c r="C268" s="9"/>
      <c r="D268" s="39"/>
      <c r="E268" s="36"/>
      <c r="F268" s="9"/>
      <c r="G268" s="9"/>
      <c r="H268" s="36"/>
      <c r="I268" s="38"/>
      <c r="J268" s="36"/>
      <c r="K268" s="36"/>
      <c r="L268" s="36"/>
      <c r="M268" s="36"/>
      <c r="N268" s="36"/>
      <c r="O268" s="36"/>
      <c r="P268" s="9"/>
      <c r="Q268" s="36"/>
      <c r="R268" s="9"/>
      <c r="S268" s="9"/>
      <c r="T268" s="39"/>
      <c r="U268" s="39"/>
      <c r="V268" s="36"/>
      <c r="W268" s="9"/>
      <c r="X268" s="9"/>
      <c r="Y268" s="9"/>
      <c r="Z268" s="9"/>
      <c r="AA268" s="9"/>
      <c r="AB268" s="9"/>
      <c r="AC268" s="9"/>
      <c r="AD268" s="37"/>
      <c r="AE268" s="38"/>
      <c r="AF268" s="39"/>
      <c r="AG268" s="39"/>
      <c r="AH268" s="9"/>
      <c r="AI268" s="9"/>
      <c r="AJ268" s="9"/>
      <c r="AK268" s="9"/>
      <c r="AL268" s="9"/>
      <c r="AM268" s="40"/>
      <c r="AN268" s="10" t="str">
        <f aca="false">IF(C268="","",C268&amp;"|"&amp;D268&amp;"|"&amp;E268&amp;"|"&amp;F268&amp;"|"&amp;Y268)</f>
        <v/>
      </c>
    </row>
    <row r="269" customFormat="false" ht="15" hidden="false" customHeight="false" outlineLevel="0" collapsed="false">
      <c r="A269" s="10" t="str">
        <f aca="false">IF(C269="","","RW-"&amp;IFERROR(VLOOKUP(C269,Lists!$M$4:$N$23,2,0),"??")&amp;"-H"&amp;TEXT(D269*1000,"0000")&amp;"-S"&amp;E269&amp;IF(F269="Y","-GW","")&amp;"-"&amp;X269)</f>
        <v/>
      </c>
      <c r="B269" s="10" t="str">
        <f aca="false">IF(C269="","",C269&amp;", H = "&amp;TEXT(D269,"0.0")&amp;" m, q = "&amp;E269&amp;" kPa"&amp;IF(F269="Y",", with GWT",""))</f>
        <v/>
      </c>
      <c r="C269" s="9"/>
      <c r="D269" s="39"/>
      <c r="E269" s="36"/>
      <c r="F269" s="9"/>
      <c r="G269" s="9"/>
      <c r="H269" s="36"/>
      <c r="I269" s="38"/>
      <c r="J269" s="36"/>
      <c r="K269" s="36"/>
      <c r="L269" s="36"/>
      <c r="M269" s="36"/>
      <c r="N269" s="36"/>
      <c r="O269" s="36"/>
      <c r="P269" s="9"/>
      <c r="Q269" s="36"/>
      <c r="R269" s="9"/>
      <c r="S269" s="9"/>
      <c r="T269" s="39"/>
      <c r="U269" s="39"/>
      <c r="V269" s="36"/>
      <c r="W269" s="9"/>
      <c r="X269" s="9"/>
      <c r="Y269" s="9"/>
      <c r="Z269" s="9"/>
      <c r="AA269" s="9"/>
      <c r="AB269" s="9"/>
      <c r="AC269" s="9"/>
      <c r="AD269" s="37"/>
      <c r="AE269" s="38"/>
      <c r="AF269" s="39"/>
      <c r="AG269" s="39"/>
      <c r="AH269" s="9"/>
      <c r="AI269" s="9"/>
      <c r="AJ269" s="9"/>
      <c r="AK269" s="9"/>
      <c r="AL269" s="9"/>
      <c r="AM269" s="40"/>
      <c r="AN269" s="10" t="str">
        <f aca="false">IF(C269="","",C269&amp;"|"&amp;D269&amp;"|"&amp;E269&amp;"|"&amp;F269&amp;"|"&amp;Y269)</f>
        <v/>
      </c>
    </row>
    <row r="270" customFormat="false" ht="15" hidden="false" customHeight="false" outlineLevel="0" collapsed="false">
      <c r="A270" s="10" t="str">
        <f aca="false">IF(C270="","","RW-"&amp;IFERROR(VLOOKUP(C270,Lists!$M$4:$N$23,2,0),"??")&amp;"-H"&amp;TEXT(D270*1000,"0000")&amp;"-S"&amp;E270&amp;IF(F270="Y","-GW","")&amp;"-"&amp;X270)</f>
        <v/>
      </c>
      <c r="B270" s="10" t="str">
        <f aca="false">IF(C270="","",C270&amp;", H = "&amp;TEXT(D270,"0.0")&amp;" m, q = "&amp;E270&amp;" kPa"&amp;IF(F270="Y",", with GWT",""))</f>
        <v/>
      </c>
      <c r="C270" s="9"/>
      <c r="D270" s="39"/>
      <c r="E270" s="36"/>
      <c r="F270" s="9"/>
      <c r="G270" s="9"/>
      <c r="H270" s="36"/>
      <c r="I270" s="38"/>
      <c r="J270" s="36"/>
      <c r="K270" s="36"/>
      <c r="L270" s="36"/>
      <c r="M270" s="36"/>
      <c r="N270" s="36"/>
      <c r="O270" s="36"/>
      <c r="P270" s="9"/>
      <c r="Q270" s="36"/>
      <c r="R270" s="9"/>
      <c r="S270" s="9"/>
      <c r="T270" s="39"/>
      <c r="U270" s="39"/>
      <c r="V270" s="36"/>
      <c r="W270" s="9"/>
      <c r="X270" s="9"/>
      <c r="Y270" s="9"/>
      <c r="Z270" s="9"/>
      <c r="AA270" s="9"/>
      <c r="AB270" s="9"/>
      <c r="AC270" s="9"/>
      <c r="AD270" s="37"/>
      <c r="AE270" s="38"/>
      <c r="AF270" s="39"/>
      <c r="AG270" s="39"/>
      <c r="AH270" s="9"/>
      <c r="AI270" s="9"/>
      <c r="AJ270" s="9"/>
      <c r="AK270" s="9"/>
      <c r="AL270" s="9"/>
      <c r="AM270" s="40"/>
      <c r="AN270" s="10" t="str">
        <f aca="false">IF(C270="","",C270&amp;"|"&amp;D270&amp;"|"&amp;E270&amp;"|"&amp;F270&amp;"|"&amp;Y270)</f>
        <v/>
      </c>
    </row>
    <row r="271" customFormat="false" ht="15" hidden="false" customHeight="false" outlineLevel="0" collapsed="false">
      <c r="A271" s="10" t="str">
        <f aca="false">IF(C271="","","RW-"&amp;IFERROR(VLOOKUP(C271,Lists!$M$4:$N$23,2,0),"??")&amp;"-H"&amp;TEXT(D271*1000,"0000")&amp;"-S"&amp;E271&amp;IF(F271="Y","-GW","")&amp;"-"&amp;X271)</f>
        <v/>
      </c>
      <c r="B271" s="10" t="str">
        <f aca="false">IF(C271="","",C271&amp;", H = "&amp;TEXT(D271,"0.0")&amp;" m, q = "&amp;E271&amp;" kPa"&amp;IF(F271="Y",", with GWT",""))</f>
        <v/>
      </c>
      <c r="C271" s="9"/>
      <c r="D271" s="39"/>
      <c r="E271" s="36"/>
      <c r="F271" s="9"/>
      <c r="G271" s="9"/>
      <c r="H271" s="36"/>
      <c r="I271" s="38"/>
      <c r="J271" s="36"/>
      <c r="K271" s="36"/>
      <c r="L271" s="36"/>
      <c r="M271" s="36"/>
      <c r="N271" s="36"/>
      <c r="O271" s="36"/>
      <c r="P271" s="9"/>
      <c r="Q271" s="36"/>
      <c r="R271" s="9"/>
      <c r="S271" s="9"/>
      <c r="T271" s="39"/>
      <c r="U271" s="39"/>
      <c r="V271" s="36"/>
      <c r="W271" s="9"/>
      <c r="X271" s="9"/>
      <c r="Y271" s="9"/>
      <c r="Z271" s="9"/>
      <c r="AA271" s="9"/>
      <c r="AB271" s="9"/>
      <c r="AC271" s="9"/>
      <c r="AD271" s="37"/>
      <c r="AE271" s="38"/>
      <c r="AF271" s="39"/>
      <c r="AG271" s="39"/>
      <c r="AH271" s="9"/>
      <c r="AI271" s="9"/>
      <c r="AJ271" s="9"/>
      <c r="AK271" s="9"/>
      <c r="AL271" s="9"/>
      <c r="AM271" s="40"/>
      <c r="AN271" s="10" t="str">
        <f aca="false">IF(C271="","",C271&amp;"|"&amp;D271&amp;"|"&amp;E271&amp;"|"&amp;F271&amp;"|"&amp;Y271)</f>
        <v/>
      </c>
    </row>
    <row r="272" customFormat="false" ht="15" hidden="false" customHeight="false" outlineLevel="0" collapsed="false">
      <c r="A272" s="10" t="str">
        <f aca="false">IF(C272="","","RW-"&amp;IFERROR(VLOOKUP(C272,Lists!$M$4:$N$23,2,0),"??")&amp;"-H"&amp;TEXT(D272*1000,"0000")&amp;"-S"&amp;E272&amp;IF(F272="Y","-GW","")&amp;"-"&amp;X272)</f>
        <v/>
      </c>
      <c r="B272" s="10" t="str">
        <f aca="false">IF(C272="","",C272&amp;", H = "&amp;TEXT(D272,"0.0")&amp;" m, q = "&amp;E272&amp;" kPa"&amp;IF(F272="Y",", with GWT",""))</f>
        <v/>
      </c>
      <c r="C272" s="9"/>
      <c r="D272" s="39"/>
      <c r="E272" s="36"/>
      <c r="F272" s="9"/>
      <c r="G272" s="9"/>
      <c r="H272" s="36"/>
      <c r="I272" s="38"/>
      <c r="J272" s="36"/>
      <c r="K272" s="36"/>
      <c r="L272" s="36"/>
      <c r="M272" s="36"/>
      <c r="N272" s="36"/>
      <c r="O272" s="36"/>
      <c r="P272" s="9"/>
      <c r="Q272" s="36"/>
      <c r="R272" s="9"/>
      <c r="S272" s="9"/>
      <c r="T272" s="39"/>
      <c r="U272" s="39"/>
      <c r="V272" s="36"/>
      <c r="W272" s="9"/>
      <c r="X272" s="9"/>
      <c r="Y272" s="9"/>
      <c r="Z272" s="9"/>
      <c r="AA272" s="9"/>
      <c r="AB272" s="9"/>
      <c r="AC272" s="9"/>
      <c r="AD272" s="37"/>
      <c r="AE272" s="38"/>
      <c r="AF272" s="39"/>
      <c r="AG272" s="39"/>
      <c r="AH272" s="9"/>
      <c r="AI272" s="9"/>
      <c r="AJ272" s="9"/>
      <c r="AK272" s="9"/>
      <c r="AL272" s="9"/>
      <c r="AM272" s="40"/>
      <c r="AN272" s="10" t="str">
        <f aca="false">IF(C272="","",C272&amp;"|"&amp;D272&amp;"|"&amp;E272&amp;"|"&amp;F272&amp;"|"&amp;Y272)</f>
        <v/>
      </c>
    </row>
    <row r="273" customFormat="false" ht="15" hidden="false" customHeight="false" outlineLevel="0" collapsed="false">
      <c r="A273" s="10" t="str">
        <f aca="false">IF(C273="","","RW-"&amp;IFERROR(VLOOKUP(C273,Lists!$M$4:$N$23,2,0),"??")&amp;"-H"&amp;TEXT(D273*1000,"0000")&amp;"-S"&amp;E273&amp;IF(F273="Y","-GW","")&amp;"-"&amp;X273)</f>
        <v/>
      </c>
      <c r="B273" s="10" t="str">
        <f aca="false">IF(C273="","",C273&amp;", H = "&amp;TEXT(D273,"0.0")&amp;" m, q = "&amp;E273&amp;" kPa"&amp;IF(F273="Y",", with GWT",""))</f>
        <v/>
      </c>
      <c r="C273" s="9"/>
      <c r="D273" s="39"/>
      <c r="E273" s="36"/>
      <c r="F273" s="9"/>
      <c r="G273" s="9"/>
      <c r="H273" s="36"/>
      <c r="I273" s="38"/>
      <c r="J273" s="36"/>
      <c r="K273" s="36"/>
      <c r="L273" s="36"/>
      <c r="M273" s="36"/>
      <c r="N273" s="36"/>
      <c r="O273" s="36"/>
      <c r="P273" s="9"/>
      <c r="Q273" s="36"/>
      <c r="R273" s="9"/>
      <c r="S273" s="9"/>
      <c r="T273" s="39"/>
      <c r="U273" s="39"/>
      <c r="V273" s="36"/>
      <c r="W273" s="9"/>
      <c r="X273" s="9"/>
      <c r="Y273" s="9"/>
      <c r="Z273" s="9"/>
      <c r="AA273" s="9"/>
      <c r="AB273" s="9"/>
      <c r="AC273" s="9"/>
      <c r="AD273" s="37"/>
      <c r="AE273" s="38"/>
      <c r="AF273" s="39"/>
      <c r="AG273" s="39"/>
      <c r="AH273" s="9"/>
      <c r="AI273" s="9"/>
      <c r="AJ273" s="9"/>
      <c r="AK273" s="9"/>
      <c r="AL273" s="9"/>
      <c r="AM273" s="40"/>
      <c r="AN273" s="10" t="str">
        <f aca="false">IF(C273="","",C273&amp;"|"&amp;D273&amp;"|"&amp;E273&amp;"|"&amp;F273&amp;"|"&amp;Y273)</f>
        <v/>
      </c>
    </row>
    <row r="274" customFormat="false" ht="15" hidden="false" customHeight="false" outlineLevel="0" collapsed="false">
      <c r="A274" s="10" t="str">
        <f aca="false">IF(C274="","","RW-"&amp;IFERROR(VLOOKUP(C274,Lists!$M$4:$N$23,2,0),"??")&amp;"-H"&amp;TEXT(D274*1000,"0000")&amp;"-S"&amp;E274&amp;IF(F274="Y","-GW","")&amp;"-"&amp;X274)</f>
        <v/>
      </c>
      <c r="B274" s="10" t="str">
        <f aca="false">IF(C274="","",C274&amp;", H = "&amp;TEXT(D274,"0.0")&amp;" m, q = "&amp;E274&amp;" kPa"&amp;IF(F274="Y",", with GWT",""))</f>
        <v/>
      </c>
      <c r="C274" s="9"/>
      <c r="D274" s="39"/>
      <c r="E274" s="36"/>
      <c r="F274" s="9"/>
      <c r="G274" s="9"/>
      <c r="H274" s="36"/>
      <c r="I274" s="38"/>
      <c r="J274" s="36"/>
      <c r="K274" s="36"/>
      <c r="L274" s="36"/>
      <c r="M274" s="36"/>
      <c r="N274" s="36"/>
      <c r="O274" s="36"/>
      <c r="P274" s="9"/>
      <c r="Q274" s="36"/>
      <c r="R274" s="9"/>
      <c r="S274" s="9"/>
      <c r="T274" s="39"/>
      <c r="U274" s="39"/>
      <c r="V274" s="36"/>
      <c r="W274" s="9"/>
      <c r="X274" s="9"/>
      <c r="Y274" s="9"/>
      <c r="Z274" s="9"/>
      <c r="AA274" s="9"/>
      <c r="AB274" s="9"/>
      <c r="AC274" s="9"/>
      <c r="AD274" s="37"/>
      <c r="AE274" s="38"/>
      <c r="AF274" s="39"/>
      <c r="AG274" s="39"/>
      <c r="AH274" s="9"/>
      <c r="AI274" s="9"/>
      <c r="AJ274" s="9"/>
      <c r="AK274" s="9"/>
      <c r="AL274" s="9"/>
      <c r="AM274" s="40"/>
      <c r="AN274" s="10" t="str">
        <f aca="false">IF(C274="","",C274&amp;"|"&amp;D274&amp;"|"&amp;E274&amp;"|"&amp;F274&amp;"|"&amp;Y274)</f>
        <v/>
      </c>
    </row>
    <row r="275" customFormat="false" ht="15" hidden="false" customHeight="false" outlineLevel="0" collapsed="false">
      <c r="A275" s="10" t="str">
        <f aca="false">IF(C275="","","RW-"&amp;IFERROR(VLOOKUP(C275,Lists!$M$4:$N$23,2,0),"??")&amp;"-H"&amp;TEXT(D275*1000,"0000")&amp;"-S"&amp;E275&amp;IF(F275="Y","-GW","")&amp;"-"&amp;X275)</f>
        <v/>
      </c>
      <c r="B275" s="10" t="str">
        <f aca="false">IF(C275="","",C275&amp;", H = "&amp;TEXT(D275,"0.0")&amp;" m, q = "&amp;E275&amp;" kPa"&amp;IF(F275="Y",", with GWT",""))</f>
        <v/>
      </c>
      <c r="C275" s="9"/>
      <c r="D275" s="39"/>
      <c r="E275" s="36"/>
      <c r="F275" s="9"/>
      <c r="G275" s="9"/>
      <c r="H275" s="36"/>
      <c r="I275" s="38"/>
      <c r="J275" s="36"/>
      <c r="K275" s="36"/>
      <c r="L275" s="36"/>
      <c r="M275" s="36"/>
      <c r="N275" s="36"/>
      <c r="O275" s="36"/>
      <c r="P275" s="9"/>
      <c r="Q275" s="36"/>
      <c r="R275" s="9"/>
      <c r="S275" s="9"/>
      <c r="T275" s="39"/>
      <c r="U275" s="39"/>
      <c r="V275" s="36"/>
      <c r="W275" s="9"/>
      <c r="X275" s="9"/>
      <c r="Y275" s="9"/>
      <c r="Z275" s="9"/>
      <c r="AA275" s="9"/>
      <c r="AB275" s="9"/>
      <c r="AC275" s="9"/>
      <c r="AD275" s="37"/>
      <c r="AE275" s="38"/>
      <c r="AF275" s="39"/>
      <c r="AG275" s="39"/>
      <c r="AH275" s="9"/>
      <c r="AI275" s="9"/>
      <c r="AJ275" s="9"/>
      <c r="AK275" s="9"/>
      <c r="AL275" s="9"/>
      <c r="AM275" s="40"/>
      <c r="AN275" s="10" t="str">
        <f aca="false">IF(C275="","",C275&amp;"|"&amp;D275&amp;"|"&amp;E275&amp;"|"&amp;F275&amp;"|"&amp;Y275)</f>
        <v/>
      </c>
    </row>
    <row r="276" customFormat="false" ht="15" hidden="false" customHeight="false" outlineLevel="0" collapsed="false">
      <c r="A276" s="10" t="str">
        <f aca="false">IF(C276="","","RW-"&amp;IFERROR(VLOOKUP(C276,Lists!$M$4:$N$23,2,0),"??")&amp;"-H"&amp;TEXT(D276*1000,"0000")&amp;"-S"&amp;E276&amp;IF(F276="Y","-GW","")&amp;"-"&amp;X276)</f>
        <v/>
      </c>
      <c r="B276" s="10" t="str">
        <f aca="false">IF(C276="","",C276&amp;", H = "&amp;TEXT(D276,"0.0")&amp;" m, q = "&amp;E276&amp;" kPa"&amp;IF(F276="Y",", with GWT",""))</f>
        <v/>
      </c>
      <c r="C276" s="9"/>
      <c r="D276" s="39"/>
      <c r="E276" s="36"/>
      <c r="F276" s="9"/>
      <c r="G276" s="9"/>
      <c r="H276" s="36"/>
      <c r="I276" s="38"/>
      <c r="J276" s="36"/>
      <c r="K276" s="36"/>
      <c r="L276" s="36"/>
      <c r="M276" s="36"/>
      <c r="N276" s="36"/>
      <c r="O276" s="36"/>
      <c r="P276" s="9"/>
      <c r="Q276" s="36"/>
      <c r="R276" s="9"/>
      <c r="S276" s="9"/>
      <c r="T276" s="39"/>
      <c r="U276" s="39"/>
      <c r="V276" s="36"/>
      <c r="W276" s="9"/>
      <c r="X276" s="9"/>
      <c r="Y276" s="9"/>
      <c r="Z276" s="9"/>
      <c r="AA276" s="9"/>
      <c r="AB276" s="9"/>
      <c r="AC276" s="9"/>
      <c r="AD276" s="37"/>
      <c r="AE276" s="38"/>
      <c r="AF276" s="39"/>
      <c r="AG276" s="39"/>
      <c r="AH276" s="9"/>
      <c r="AI276" s="9"/>
      <c r="AJ276" s="9"/>
      <c r="AK276" s="9"/>
      <c r="AL276" s="9"/>
      <c r="AM276" s="40"/>
      <c r="AN276" s="10" t="str">
        <f aca="false">IF(C276="","",C276&amp;"|"&amp;D276&amp;"|"&amp;E276&amp;"|"&amp;F276&amp;"|"&amp;Y276)</f>
        <v/>
      </c>
    </row>
    <row r="277" customFormat="false" ht="15" hidden="false" customHeight="false" outlineLevel="0" collapsed="false">
      <c r="A277" s="10" t="str">
        <f aca="false">IF(C277="","","RW-"&amp;IFERROR(VLOOKUP(C277,Lists!$M$4:$N$23,2,0),"??")&amp;"-H"&amp;TEXT(D277*1000,"0000")&amp;"-S"&amp;E277&amp;IF(F277="Y","-GW","")&amp;"-"&amp;X277)</f>
        <v/>
      </c>
      <c r="B277" s="10" t="str">
        <f aca="false">IF(C277="","",C277&amp;", H = "&amp;TEXT(D277,"0.0")&amp;" m, q = "&amp;E277&amp;" kPa"&amp;IF(F277="Y",", with GWT",""))</f>
        <v/>
      </c>
      <c r="C277" s="9"/>
      <c r="D277" s="39"/>
      <c r="E277" s="36"/>
      <c r="F277" s="9"/>
      <c r="G277" s="9"/>
      <c r="H277" s="36"/>
      <c r="I277" s="38"/>
      <c r="J277" s="36"/>
      <c r="K277" s="36"/>
      <c r="L277" s="36"/>
      <c r="M277" s="36"/>
      <c r="N277" s="36"/>
      <c r="O277" s="36"/>
      <c r="P277" s="9"/>
      <c r="Q277" s="36"/>
      <c r="R277" s="9"/>
      <c r="S277" s="9"/>
      <c r="T277" s="39"/>
      <c r="U277" s="39"/>
      <c r="V277" s="36"/>
      <c r="W277" s="9"/>
      <c r="X277" s="9"/>
      <c r="Y277" s="9"/>
      <c r="Z277" s="9"/>
      <c r="AA277" s="9"/>
      <c r="AB277" s="9"/>
      <c r="AC277" s="9"/>
      <c r="AD277" s="37"/>
      <c r="AE277" s="38"/>
      <c r="AF277" s="39"/>
      <c r="AG277" s="39"/>
      <c r="AH277" s="9"/>
      <c r="AI277" s="9"/>
      <c r="AJ277" s="9"/>
      <c r="AK277" s="9"/>
      <c r="AL277" s="9"/>
      <c r="AM277" s="40"/>
      <c r="AN277" s="10" t="str">
        <f aca="false">IF(C277="","",C277&amp;"|"&amp;D277&amp;"|"&amp;E277&amp;"|"&amp;F277&amp;"|"&amp;Y277)</f>
        <v/>
      </c>
    </row>
    <row r="278" customFormat="false" ht="15" hidden="false" customHeight="false" outlineLevel="0" collapsed="false">
      <c r="A278" s="10" t="str">
        <f aca="false">IF(C278="","","RW-"&amp;IFERROR(VLOOKUP(C278,Lists!$M$4:$N$23,2,0),"??")&amp;"-H"&amp;TEXT(D278*1000,"0000")&amp;"-S"&amp;E278&amp;IF(F278="Y","-GW","")&amp;"-"&amp;X278)</f>
        <v/>
      </c>
      <c r="B278" s="10" t="str">
        <f aca="false">IF(C278="","",C278&amp;", H = "&amp;TEXT(D278,"0.0")&amp;" m, q = "&amp;E278&amp;" kPa"&amp;IF(F278="Y",", with GWT",""))</f>
        <v/>
      </c>
      <c r="C278" s="9"/>
      <c r="D278" s="39"/>
      <c r="E278" s="36"/>
      <c r="F278" s="9"/>
      <c r="G278" s="9"/>
      <c r="H278" s="36"/>
      <c r="I278" s="38"/>
      <c r="J278" s="36"/>
      <c r="K278" s="36"/>
      <c r="L278" s="36"/>
      <c r="M278" s="36"/>
      <c r="N278" s="36"/>
      <c r="O278" s="36"/>
      <c r="P278" s="9"/>
      <c r="Q278" s="36"/>
      <c r="R278" s="9"/>
      <c r="S278" s="9"/>
      <c r="T278" s="39"/>
      <c r="U278" s="39"/>
      <c r="V278" s="36"/>
      <c r="W278" s="9"/>
      <c r="X278" s="9"/>
      <c r="Y278" s="9"/>
      <c r="Z278" s="9"/>
      <c r="AA278" s="9"/>
      <c r="AB278" s="9"/>
      <c r="AC278" s="9"/>
      <c r="AD278" s="37"/>
      <c r="AE278" s="38"/>
      <c r="AF278" s="39"/>
      <c r="AG278" s="39"/>
      <c r="AH278" s="9"/>
      <c r="AI278" s="9"/>
      <c r="AJ278" s="9"/>
      <c r="AK278" s="9"/>
      <c r="AL278" s="9"/>
      <c r="AM278" s="40"/>
      <c r="AN278" s="10" t="str">
        <f aca="false">IF(C278="","",C278&amp;"|"&amp;D278&amp;"|"&amp;E278&amp;"|"&amp;F278&amp;"|"&amp;Y278)</f>
        <v/>
      </c>
    </row>
    <row r="279" customFormat="false" ht="15" hidden="false" customHeight="false" outlineLevel="0" collapsed="false">
      <c r="A279" s="10" t="str">
        <f aca="false">IF(C279="","","RW-"&amp;IFERROR(VLOOKUP(C279,Lists!$M$4:$N$23,2,0),"??")&amp;"-H"&amp;TEXT(D279*1000,"0000")&amp;"-S"&amp;E279&amp;IF(F279="Y","-GW","")&amp;"-"&amp;X279)</f>
        <v/>
      </c>
      <c r="B279" s="10" t="str">
        <f aca="false">IF(C279="","",C279&amp;", H = "&amp;TEXT(D279,"0.0")&amp;" m, q = "&amp;E279&amp;" kPa"&amp;IF(F279="Y",", with GWT",""))</f>
        <v/>
      </c>
      <c r="C279" s="9"/>
      <c r="D279" s="39"/>
      <c r="E279" s="36"/>
      <c r="F279" s="9"/>
      <c r="G279" s="9"/>
      <c r="H279" s="36"/>
      <c r="I279" s="38"/>
      <c r="J279" s="36"/>
      <c r="K279" s="36"/>
      <c r="L279" s="36"/>
      <c r="M279" s="36"/>
      <c r="N279" s="36"/>
      <c r="O279" s="36"/>
      <c r="P279" s="9"/>
      <c r="Q279" s="36"/>
      <c r="R279" s="9"/>
      <c r="S279" s="9"/>
      <c r="T279" s="39"/>
      <c r="U279" s="39"/>
      <c r="V279" s="36"/>
      <c r="W279" s="9"/>
      <c r="X279" s="9"/>
      <c r="Y279" s="9"/>
      <c r="Z279" s="9"/>
      <c r="AA279" s="9"/>
      <c r="AB279" s="9"/>
      <c r="AC279" s="9"/>
      <c r="AD279" s="37"/>
      <c r="AE279" s="38"/>
      <c r="AF279" s="39"/>
      <c r="AG279" s="39"/>
      <c r="AH279" s="9"/>
      <c r="AI279" s="9"/>
      <c r="AJ279" s="9"/>
      <c r="AK279" s="9"/>
      <c r="AL279" s="9"/>
      <c r="AM279" s="40"/>
      <c r="AN279" s="10" t="str">
        <f aca="false">IF(C279="","",C279&amp;"|"&amp;D279&amp;"|"&amp;E279&amp;"|"&amp;F279&amp;"|"&amp;Y279)</f>
        <v/>
      </c>
    </row>
    <row r="280" customFormat="false" ht="15" hidden="false" customHeight="false" outlineLevel="0" collapsed="false">
      <c r="A280" s="10" t="str">
        <f aca="false">IF(C280="","","RW-"&amp;IFERROR(VLOOKUP(C280,Lists!$M$4:$N$23,2,0),"??")&amp;"-H"&amp;TEXT(D280*1000,"0000")&amp;"-S"&amp;E280&amp;IF(F280="Y","-GW","")&amp;"-"&amp;X280)</f>
        <v/>
      </c>
      <c r="B280" s="10" t="str">
        <f aca="false">IF(C280="","",C280&amp;", H = "&amp;TEXT(D280,"0.0")&amp;" m, q = "&amp;E280&amp;" kPa"&amp;IF(F280="Y",", with GWT",""))</f>
        <v/>
      </c>
      <c r="C280" s="9"/>
      <c r="D280" s="39"/>
      <c r="E280" s="36"/>
      <c r="F280" s="9"/>
      <c r="G280" s="9"/>
      <c r="H280" s="36"/>
      <c r="I280" s="38"/>
      <c r="J280" s="36"/>
      <c r="K280" s="36"/>
      <c r="L280" s="36"/>
      <c r="M280" s="36"/>
      <c r="N280" s="36"/>
      <c r="O280" s="36"/>
      <c r="P280" s="9"/>
      <c r="Q280" s="36"/>
      <c r="R280" s="9"/>
      <c r="S280" s="9"/>
      <c r="T280" s="39"/>
      <c r="U280" s="39"/>
      <c r="V280" s="36"/>
      <c r="W280" s="9"/>
      <c r="X280" s="9"/>
      <c r="Y280" s="9"/>
      <c r="Z280" s="9"/>
      <c r="AA280" s="9"/>
      <c r="AB280" s="9"/>
      <c r="AC280" s="9"/>
      <c r="AD280" s="37"/>
      <c r="AE280" s="38"/>
      <c r="AF280" s="39"/>
      <c r="AG280" s="39"/>
      <c r="AH280" s="9"/>
      <c r="AI280" s="9"/>
      <c r="AJ280" s="9"/>
      <c r="AK280" s="9"/>
      <c r="AL280" s="9"/>
      <c r="AM280" s="40"/>
      <c r="AN280" s="10" t="str">
        <f aca="false">IF(C280="","",C280&amp;"|"&amp;D280&amp;"|"&amp;E280&amp;"|"&amp;F280&amp;"|"&amp;Y280)</f>
        <v/>
      </c>
    </row>
    <row r="281" customFormat="false" ht="15" hidden="false" customHeight="false" outlineLevel="0" collapsed="false">
      <c r="A281" s="10" t="str">
        <f aca="false">IF(C281="","","RW-"&amp;IFERROR(VLOOKUP(C281,Lists!$M$4:$N$23,2,0),"??")&amp;"-H"&amp;TEXT(D281*1000,"0000")&amp;"-S"&amp;E281&amp;IF(F281="Y","-GW","")&amp;"-"&amp;X281)</f>
        <v/>
      </c>
      <c r="B281" s="10" t="str">
        <f aca="false">IF(C281="","",C281&amp;", H = "&amp;TEXT(D281,"0.0")&amp;" m, q = "&amp;E281&amp;" kPa"&amp;IF(F281="Y",", with GWT",""))</f>
        <v/>
      </c>
      <c r="C281" s="9"/>
      <c r="D281" s="39"/>
      <c r="E281" s="36"/>
      <c r="F281" s="9"/>
      <c r="G281" s="9"/>
      <c r="H281" s="36"/>
      <c r="I281" s="38"/>
      <c r="J281" s="36"/>
      <c r="K281" s="36"/>
      <c r="L281" s="36"/>
      <c r="M281" s="36"/>
      <c r="N281" s="36"/>
      <c r="O281" s="36"/>
      <c r="P281" s="9"/>
      <c r="Q281" s="36"/>
      <c r="R281" s="9"/>
      <c r="S281" s="9"/>
      <c r="T281" s="39"/>
      <c r="U281" s="39"/>
      <c r="V281" s="36"/>
      <c r="W281" s="9"/>
      <c r="X281" s="9"/>
      <c r="Y281" s="9"/>
      <c r="Z281" s="9"/>
      <c r="AA281" s="9"/>
      <c r="AB281" s="9"/>
      <c r="AC281" s="9"/>
      <c r="AD281" s="37"/>
      <c r="AE281" s="38"/>
      <c r="AF281" s="39"/>
      <c r="AG281" s="39"/>
      <c r="AH281" s="9"/>
      <c r="AI281" s="9"/>
      <c r="AJ281" s="9"/>
      <c r="AK281" s="9"/>
      <c r="AL281" s="9"/>
      <c r="AM281" s="40"/>
      <c r="AN281" s="10" t="str">
        <f aca="false">IF(C281="","",C281&amp;"|"&amp;D281&amp;"|"&amp;E281&amp;"|"&amp;F281&amp;"|"&amp;Y281)</f>
        <v/>
      </c>
    </row>
    <row r="282" customFormat="false" ht="15" hidden="false" customHeight="false" outlineLevel="0" collapsed="false">
      <c r="A282" s="10" t="str">
        <f aca="false">IF(C282="","","RW-"&amp;IFERROR(VLOOKUP(C282,Lists!$M$4:$N$23,2,0),"??")&amp;"-H"&amp;TEXT(D282*1000,"0000")&amp;"-S"&amp;E282&amp;IF(F282="Y","-GW","")&amp;"-"&amp;X282)</f>
        <v/>
      </c>
      <c r="B282" s="10" t="str">
        <f aca="false">IF(C282="","",C282&amp;", H = "&amp;TEXT(D282,"0.0")&amp;" m, q = "&amp;E282&amp;" kPa"&amp;IF(F282="Y",", with GWT",""))</f>
        <v/>
      </c>
      <c r="C282" s="9"/>
      <c r="D282" s="39"/>
      <c r="E282" s="36"/>
      <c r="F282" s="9"/>
      <c r="G282" s="9"/>
      <c r="H282" s="36"/>
      <c r="I282" s="38"/>
      <c r="J282" s="36"/>
      <c r="K282" s="36"/>
      <c r="L282" s="36"/>
      <c r="M282" s="36"/>
      <c r="N282" s="36"/>
      <c r="O282" s="36"/>
      <c r="P282" s="9"/>
      <c r="Q282" s="36"/>
      <c r="R282" s="9"/>
      <c r="S282" s="9"/>
      <c r="T282" s="39"/>
      <c r="U282" s="39"/>
      <c r="V282" s="36"/>
      <c r="W282" s="9"/>
      <c r="X282" s="9"/>
      <c r="Y282" s="9"/>
      <c r="Z282" s="9"/>
      <c r="AA282" s="9"/>
      <c r="AB282" s="9"/>
      <c r="AC282" s="9"/>
      <c r="AD282" s="37"/>
      <c r="AE282" s="38"/>
      <c r="AF282" s="39"/>
      <c r="AG282" s="39"/>
      <c r="AH282" s="9"/>
      <c r="AI282" s="9"/>
      <c r="AJ282" s="9"/>
      <c r="AK282" s="9"/>
      <c r="AL282" s="9"/>
      <c r="AM282" s="40"/>
      <c r="AN282" s="10" t="str">
        <f aca="false">IF(C282="","",C282&amp;"|"&amp;D282&amp;"|"&amp;E282&amp;"|"&amp;F282&amp;"|"&amp;Y282)</f>
        <v/>
      </c>
    </row>
    <row r="283" customFormat="false" ht="15" hidden="false" customHeight="false" outlineLevel="0" collapsed="false">
      <c r="A283" s="10" t="str">
        <f aca="false">IF(C283="","","RW-"&amp;IFERROR(VLOOKUP(C283,Lists!$M$4:$N$23,2,0),"??")&amp;"-H"&amp;TEXT(D283*1000,"0000")&amp;"-S"&amp;E283&amp;IF(F283="Y","-GW","")&amp;"-"&amp;X283)</f>
        <v/>
      </c>
      <c r="B283" s="10" t="str">
        <f aca="false">IF(C283="","",C283&amp;", H = "&amp;TEXT(D283,"0.0")&amp;" m, q = "&amp;E283&amp;" kPa"&amp;IF(F283="Y",", with GWT",""))</f>
        <v/>
      </c>
      <c r="C283" s="9"/>
      <c r="D283" s="39"/>
      <c r="E283" s="36"/>
      <c r="F283" s="9"/>
      <c r="G283" s="9"/>
      <c r="H283" s="36"/>
      <c r="I283" s="38"/>
      <c r="J283" s="36"/>
      <c r="K283" s="36"/>
      <c r="L283" s="36"/>
      <c r="M283" s="36"/>
      <c r="N283" s="36"/>
      <c r="O283" s="36"/>
      <c r="P283" s="9"/>
      <c r="Q283" s="36"/>
      <c r="R283" s="9"/>
      <c r="S283" s="9"/>
      <c r="T283" s="39"/>
      <c r="U283" s="39"/>
      <c r="V283" s="36"/>
      <c r="W283" s="9"/>
      <c r="X283" s="9"/>
      <c r="Y283" s="9"/>
      <c r="Z283" s="9"/>
      <c r="AA283" s="9"/>
      <c r="AB283" s="9"/>
      <c r="AC283" s="9"/>
      <c r="AD283" s="37"/>
      <c r="AE283" s="38"/>
      <c r="AF283" s="39"/>
      <c r="AG283" s="39"/>
      <c r="AH283" s="9"/>
      <c r="AI283" s="9"/>
      <c r="AJ283" s="9"/>
      <c r="AK283" s="9"/>
      <c r="AL283" s="9"/>
      <c r="AM283" s="40"/>
      <c r="AN283" s="10" t="str">
        <f aca="false">IF(C283="","",C283&amp;"|"&amp;D283&amp;"|"&amp;E283&amp;"|"&amp;F283&amp;"|"&amp;Y283)</f>
        <v/>
      </c>
    </row>
    <row r="284" customFormat="false" ht="15" hidden="false" customHeight="false" outlineLevel="0" collapsed="false">
      <c r="A284" s="10" t="str">
        <f aca="false">IF(C284="","","RW-"&amp;IFERROR(VLOOKUP(C284,Lists!$M$4:$N$23,2,0),"??")&amp;"-H"&amp;TEXT(D284*1000,"0000")&amp;"-S"&amp;E284&amp;IF(F284="Y","-GW","")&amp;"-"&amp;X284)</f>
        <v/>
      </c>
      <c r="B284" s="10" t="str">
        <f aca="false">IF(C284="","",C284&amp;", H = "&amp;TEXT(D284,"0.0")&amp;" m, q = "&amp;E284&amp;" kPa"&amp;IF(F284="Y",", with GWT",""))</f>
        <v/>
      </c>
      <c r="C284" s="9"/>
      <c r="D284" s="39"/>
      <c r="E284" s="36"/>
      <c r="F284" s="9"/>
      <c r="G284" s="9"/>
      <c r="H284" s="36"/>
      <c r="I284" s="38"/>
      <c r="J284" s="36"/>
      <c r="K284" s="36"/>
      <c r="L284" s="36"/>
      <c r="M284" s="36"/>
      <c r="N284" s="36"/>
      <c r="O284" s="36"/>
      <c r="P284" s="9"/>
      <c r="Q284" s="36"/>
      <c r="R284" s="9"/>
      <c r="S284" s="9"/>
      <c r="T284" s="39"/>
      <c r="U284" s="39"/>
      <c r="V284" s="36"/>
      <c r="W284" s="9"/>
      <c r="X284" s="9"/>
      <c r="Y284" s="9"/>
      <c r="Z284" s="9"/>
      <c r="AA284" s="9"/>
      <c r="AB284" s="9"/>
      <c r="AC284" s="9"/>
      <c r="AD284" s="37"/>
      <c r="AE284" s="38"/>
      <c r="AF284" s="39"/>
      <c r="AG284" s="39"/>
      <c r="AH284" s="9"/>
      <c r="AI284" s="9"/>
      <c r="AJ284" s="9"/>
      <c r="AK284" s="9"/>
      <c r="AL284" s="9"/>
      <c r="AM284" s="40"/>
      <c r="AN284" s="10" t="str">
        <f aca="false">IF(C284="","",C284&amp;"|"&amp;D284&amp;"|"&amp;E284&amp;"|"&amp;F284&amp;"|"&amp;Y284)</f>
        <v/>
      </c>
    </row>
    <row r="285" customFormat="false" ht="15" hidden="false" customHeight="false" outlineLevel="0" collapsed="false">
      <c r="A285" s="10" t="str">
        <f aca="false">IF(C285="","","RW-"&amp;IFERROR(VLOOKUP(C285,Lists!$M$4:$N$23,2,0),"??")&amp;"-H"&amp;TEXT(D285*1000,"0000")&amp;"-S"&amp;E285&amp;IF(F285="Y","-GW","")&amp;"-"&amp;X285)</f>
        <v/>
      </c>
      <c r="B285" s="10" t="str">
        <f aca="false">IF(C285="","",C285&amp;", H = "&amp;TEXT(D285,"0.0")&amp;" m, q = "&amp;E285&amp;" kPa"&amp;IF(F285="Y",", with GWT",""))</f>
        <v/>
      </c>
      <c r="C285" s="9"/>
      <c r="D285" s="39"/>
      <c r="E285" s="36"/>
      <c r="F285" s="9"/>
      <c r="G285" s="9"/>
      <c r="H285" s="36"/>
      <c r="I285" s="38"/>
      <c r="J285" s="36"/>
      <c r="K285" s="36"/>
      <c r="L285" s="36"/>
      <c r="M285" s="36"/>
      <c r="N285" s="36"/>
      <c r="O285" s="36"/>
      <c r="P285" s="9"/>
      <c r="Q285" s="36"/>
      <c r="R285" s="9"/>
      <c r="S285" s="9"/>
      <c r="T285" s="39"/>
      <c r="U285" s="39"/>
      <c r="V285" s="36"/>
      <c r="W285" s="9"/>
      <c r="X285" s="9"/>
      <c r="Y285" s="9"/>
      <c r="Z285" s="9"/>
      <c r="AA285" s="9"/>
      <c r="AB285" s="9"/>
      <c r="AC285" s="9"/>
      <c r="AD285" s="37"/>
      <c r="AE285" s="38"/>
      <c r="AF285" s="39"/>
      <c r="AG285" s="39"/>
      <c r="AH285" s="9"/>
      <c r="AI285" s="9"/>
      <c r="AJ285" s="9"/>
      <c r="AK285" s="9"/>
      <c r="AL285" s="9"/>
      <c r="AM285" s="40"/>
      <c r="AN285" s="10" t="str">
        <f aca="false">IF(C285="","",C285&amp;"|"&amp;D285&amp;"|"&amp;E285&amp;"|"&amp;F285&amp;"|"&amp;Y285)</f>
        <v/>
      </c>
    </row>
    <row r="286" customFormat="false" ht="15" hidden="false" customHeight="false" outlineLevel="0" collapsed="false">
      <c r="A286" s="10" t="str">
        <f aca="false">IF(C286="","","RW-"&amp;IFERROR(VLOOKUP(C286,Lists!$M$4:$N$23,2,0),"??")&amp;"-H"&amp;TEXT(D286*1000,"0000")&amp;"-S"&amp;E286&amp;IF(F286="Y","-GW","")&amp;"-"&amp;X286)</f>
        <v/>
      </c>
      <c r="B286" s="10" t="str">
        <f aca="false">IF(C286="","",C286&amp;", H = "&amp;TEXT(D286,"0.0")&amp;" m, q = "&amp;E286&amp;" kPa"&amp;IF(F286="Y",", with GWT",""))</f>
        <v/>
      </c>
      <c r="C286" s="9"/>
      <c r="D286" s="39"/>
      <c r="E286" s="36"/>
      <c r="F286" s="9"/>
      <c r="G286" s="9"/>
      <c r="H286" s="36"/>
      <c r="I286" s="38"/>
      <c r="J286" s="36"/>
      <c r="K286" s="36"/>
      <c r="L286" s="36"/>
      <c r="M286" s="36"/>
      <c r="N286" s="36"/>
      <c r="O286" s="36"/>
      <c r="P286" s="9"/>
      <c r="Q286" s="36"/>
      <c r="R286" s="9"/>
      <c r="S286" s="9"/>
      <c r="T286" s="39"/>
      <c r="U286" s="39"/>
      <c r="V286" s="36"/>
      <c r="W286" s="9"/>
      <c r="X286" s="9"/>
      <c r="Y286" s="9"/>
      <c r="Z286" s="9"/>
      <c r="AA286" s="9"/>
      <c r="AB286" s="9"/>
      <c r="AC286" s="9"/>
      <c r="AD286" s="37"/>
      <c r="AE286" s="38"/>
      <c r="AF286" s="39"/>
      <c r="AG286" s="39"/>
      <c r="AH286" s="9"/>
      <c r="AI286" s="9"/>
      <c r="AJ286" s="9"/>
      <c r="AK286" s="9"/>
      <c r="AL286" s="9"/>
      <c r="AM286" s="40"/>
      <c r="AN286" s="10" t="str">
        <f aca="false">IF(C286="","",C286&amp;"|"&amp;D286&amp;"|"&amp;E286&amp;"|"&amp;F286&amp;"|"&amp;Y286)</f>
        <v/>
      </c>
    </row>
    <row r="287" customFormat="false" ht="15" hidden="false" customHeight="false" outlineLevel="0" collapsed="false">
      <c r="A287" s="10" t="str">
        <f aca="false">IF(C287="","","RW-"&amp;IFERROR(VLOOKUP(C287,Lists!$M$4:$N$23,2,0),"??")&amp;"-H"&amp;TEXT(D287*1000,"0000")&amp;"-S"&amp;E287&amp;IF(F287="Y","-GW","")&amp;"-"&amp;X287)</f>
        <v/>
      </c>
      <c r="B287" s="10" t="str">
        <f aca="false">IF(C287="","",C287&amp;", H = "&amp;TEXT(D287,"0.0")&amp;" m, q = "&amp;E287&amp;" kPa"&amp;IF(F287="Y",", with GWT",""))</f>
        <v/>
      </c>
      <c r="C287" s="9"/>
      <c r="D287" s="39"/>
      <c r="E287" s="36"/>
      <c r="F287" s="9"/>
      <c r="G287" s="9"/>
      <c r="H287" s="36"/>
      <c r="I287" s="38"/>
      <c r="J287" s="36"/>
      <c r="K287" s="36"/>
      <c r="L287" s="36"/>
      <c r="M287" s="36"/>
      <c r="N287" s="36"/>
      <c r="O287" s="36"/>
      <c r="P287" s="9"/>
      <c r="Q287" s="36"/>
      <c r="R287" s="9"/>
      <c r="S287" s="9"/>
      <c r="T287" s="39"/>
      <c r="U287" s="39"/>
      <c r="V287" s="36"/>
      <c r="W287" s="9"/>
      <c r="X287" s="9"/>
      <c r="Y287" s="9"/>
      <c r="Z287" s="9"/>
      <c r="AA287" s="9"/>
      <c r="AB287" s="9"/>
      <c r="AC287" s="9"/>
      <c r="AD287" s="37"/>
      <c r="AE287" s="38"/>
      <c r="AF287" s="39"/>
      <c r="AG287" s="39"/>
      <c r="AH287" s="9"/>
      <c r="AI287" s="9"/>
      <c r="AJ287" s="9"/>
      <c r="AK287" s="9"/>
      <c r="AL287" s="9"/>
      <c r="AM287" s="40"/>
      <c r="AN287" s="10" t="str">
        <f aca="false">IF(C287="","",C287&amp;"|"&amp;D287&amp;"|"&amp;E287&amp;"|"&amp;F287&amp;"|"&amp;Y287)</f>
        <v/>
      </c>
    </row>
    <row r="288" customFormat="false" ht="15" hidden="false" customHeight="false" outlineLevel="0" collapsed="false">
      <c r="A288" s="10" t="str">
        <f aca="false">IF(C288="","","RW-"&amp;IFERROR(VLOOKUP(C288,Lists!$M$4:$N$23,2,0),"??")&amp;"-H"&amp;TEXT(D288*1000,"0000")&amp;"-S"&amp;E288&amp;IF(F288="Y","-GW","")&amp;"-"&amp;X288)</f>
        <v/>
      </c>
      <c r="B288" s="10" t="str">
        <f aca="false">IF(C288="","",C288&amp;", H = "&amp;TEXT(D288,"0.0")&amp;" m, q = "&amp;E288&amp;" kPa"&amp;IF(F288="Y",", with GWT",""))</f>
        <v/>
      </c>
      <c r="C288" s="9"/>
      <c r="D288" s="39"/>
      <c r="E288" s="36"/>
      <c r="F288" s="9"/>
      <c r="G288" s="9"/>
      <c r="H288" s="36"/>
      <c r="I288" s="38"/>
      <c r="J288" s="36"/>
      <c r="K288" s="36"/>
      <c r="L288" s="36"/>
      <c r="M288" s="36"/>
      <c r="N288" s="36"/>
      <c r="O288" s="36"/>
      <c r="P288" s="9"/>
      <c r="Q288" s="36"/>
      <c r="R288" s="9"/>
      <c r="S288" s="9"/>
      <c r="T288" s="39"/>
      <c r="U288" s="39"/>
      <c r="V288" s="36"/>
      <c r="W288" s="9"/>
      <c r="X288" s="9"/>
      <c r="Y288" s="9"/>
      <c r="Z288" s="9"/>
      <c r="AA288" s="9"/>
      <c r="AB288" s="9"/>
      <c r="AC288" s="9"/>
      <c r="AD288" s="37"/>
      <c r="AE288" s="38"/>
      <c r="AF288" s="39"/>
      <c r="AG288" s="39"/>
      <c r="AH288" s="9"/>
      <c r="AI288" s="9"/>
      <c r="AJ288" s="9"/>
      <c r="AK288" s="9"/>
      <c r="AL288" s="9"/>
      <c r="AM288" s="40"/>
      <c r="AN288" s="10" t="str">
        <f aca="false">IF(C288="","",C288&amp;"|"&amp;D288&amp;"|"&amp;E288&amp;"|"&amp;F288&amp;"|"&amp;Y288)</f>
        <v/>
      </c>
    </row>
    <row r="289" customFormat="false" ht="15" hidden="false" customHeight="false" outlineLevel="0" collapsed="false">
      <c r="A289" s="10" t="str">
        <f aca="false">IF(C289="","","RW-"&amp;IFERROR(VLOOKUP(C289,Lists!$M$4:$N$23,2,0),"??")&amp;"-H"&amp;TEXT(D289*1000,"0000")&amp;"-S"&amp;E289&amp;IF(F289="Y","-GW","")&amp;"-"&amp;X289)</f>
        <v/>
      </c>
      <c r="B289" s="10" t="str">
        <f aca="false">IF(C289="","",C289&amp;", H = "&amp;TEXT(D289,"0.0")&amp;" m, q = "&amp;E289&amp;" kPa"&amp;IF(F289="Y",", with GWT",""))</f>
        <v/>
      </c>
      <c r="C289" s="9"/>
      <c r="D289" s="39"/>
      <c r="E289" s="36"/>
      <c r="F289" s="9"/>
      <c r="G289" s="9"/>
      <c r="H289" s="36"/>
      <c r="I289" s="38"/>
      <c r="J289" s="36"/>
      <c r="K289" s="36"/>
      <c r="L289" s="36"/>
      <c r="M289" s="36"/>
      <c r="N289" s="36"/>
      <c r="O289" s="36"/>
      <c r="P289" s="9"/>
      <c r="Q289" s="36"/>
      <c r="R289" s="9"/>
      <c r="S289" s="9"/>
      <c r="T289" s="39"/>
      <c r="U289" s="39"/>
      <c r="V289" s="36"/>
      <c r="W289" s="9"/>
      <c r="X289" s="9"/>
      <c r="Y289" s="9"/>
      <c r="Z289" s="9"/>
      <c r="AA289" s="9"/>
      <c r="AB289" s="9"/>
      <c r="AC289" s="9"/>
      <c r="AD289" s="37"/>
      <c r="AE289" s="38"/>
      <c r="AF289" s="39"/>
      <c r="AG289" s="39"/>
      <c r="AH289" s="9"/>
      <c r="AI289" s="9"/>
      <c r="AJ289" s="9"/>
      <c r="AK289" s="9"/>
      <c r="AL289" s="9"/>
      <c r="AM289" s="40"/>
      <c r="AN289" s="10" t="str">
        <f aca="false">IF(C289="","",C289&amp;"|"&amp;D289&amp;"|"&amp;E289&amp;"|"&amp;F289&amp;"|"&amp;Y289)</f>
        <v/>
      </c>
    </row>
    <row r="290" customFormat="false" ht="15" hidden="false" customHeight="false" outlineLevel="0" collapsed="false">
      <c r="A290" s="10" t="str">
        <f aca="false">IF(C290="","","RW-"&amp;IFERROR(VLOOKUP(C290,Lists!$M$4:$N$23,2,0),"??")&amp;"-H"&amp;TEXT(D290*1000,"0000")&amp;"-S"&amp;E290&amp;IF(F290="Y","-GW","")&amp;"-"&amp;X290)</f>
        <v/>
      </c>
      <c r="B290" s="10" t="str">
        <f aca="false">IF(C290="","",C290&amp;", H = "&amp;TEXT(D290,"0.0")&amp;" m, q = "&amp;E290&amp;" kPa"&amp;IF(F290="Y",", with GWT",""))</f>
        <v/>
      </c>
      <c r="C290" s="9"/>
      <c r="D290" s="39"/>
      <c r="E290" s="36"/>
      <c r="F290" s="9"/>
      <c r="G290" s="9"/>
      <c r="H290" s="36"/>
      <c r="I290" s="38"/>
      <c r="J290" s="36"/>
      <c r="K290" s="36"/>
      <c r="L290" s="36"/>
      <c r="M290" s="36"/>
      <c r="N290" s="36"/>
      <c r="O290" s="36"/>
      <c r="P290" s="9"/>
      <c r="Q290" s="36"/>
      <c r="R290" s="9"/>
      <c r="S290" s="9"/>
      <c r="T290" s="39"/>
      <c r="U290" s="39"/>
      <c r="V290" s="36"/>
      <c r="W290" s="9"/>
      <c r="X290" s="9"/>
      <c r="Y290" s="9"/>
      <c r="Z290" s="9"/>
      <c r="AA290" s="9"/>
      <c r="AB290" s="9"/>
      <c r="AC290" s="9"/>
      <c r="AD290" s="37"/>
      <c r="AE290" s="38"/>
      <c r="AF290" s="39"/>
      <c r="AG290" s="39"/>
      <c r="AH290" s="9"/>
      <c r="AI290" s="9"/>
      <c r="AJ290" s="9"/>
      <c r="AK290" s="9"/>
      <c r="AL290" s="9"/>
      <c r="AM290" s="40"/>
      <c r="AN290" s="10" t="str">
        <f aca="false">IF(C290="","",C290&amp;"|"&amp;D290&amp;"|"&amp;E290&amp;"|"&amp;F290&amp;"|"&amp;Y290)</f>
        <v/>
      </c>
    </row>
    <row r="291" customFormat="false" ht="15" hidden="false" customHeight="false" outlineLevel="0" collapsed="false">
      <c r="A291" s="10" t="str">
        <f aca="false">IF(C291="","","RW-"&amp;IFERROR(VLOOKUP(C291,Lists!$M$4:$N$23,2,0),"??")&amp;"-H"&amp;TEXT(D291*1000,"0000")&amp;"-S"&amp;E291&amp;IF(F291="Y","-GW","")&amp;"-"&amp;X291)</f>
        <v/>
      </c>
      <c r="B291" s="10" t="str">
        <f aca="false">IF(C291="","",C291&amp;", H = "&amp;TEXT(D291,"0.0")&amp;" m, q = "&amp;E291&amp;" kPa"&amp;IF(F291="Y",", with GWT",""))</f>
        <v/>
      </c>
      <c r="C291" s="9"/>
      <c r="D291" s="39"/>
      <c r="E291" s="36"/>
      <c r="F291" s="9"/>
      <c r="G291" s="9"/>
      <c r="H291" s="36"/>
      <c r="I291" s="38"/>
      <c r="J291" s="36"/>
      <c r="K291" s="36"/>
      <c r="L291" s="36"/>
      <c r="M291" s="36"/>
      <c r="N291" s="36"/>
      <c r="O291" s="36"/>
      <c r="P291" s="9"/>
      <c r="Q291" s="36"/>
      <c r="R291" s="9"/>
      <c r="S291" s="9"/>
      <c r="T291" s="39"/>
      <c r="U291" s="39"/>
      <c r="V291" s="36"/>
      <c r="W291" s="9"/>
      <c r="X291" s="9"/>
      <c r="Y291" s="9"/>
      <c r="Z291" s="9"/>
      <c r="AA291" s="9"/>
      <c r="AB291" s="9"/>
      <c r="AC291" s="9"/>
      <c r="AD291" s="37"/>
      <c r="AE291" s="38"/>
      <c r="AF291" s="39"/>
      <c r="AG291" s="39"/>
      <c r="AH291" s="9"/>
      <c r="AI291" s="9"/>
      <c r="AJ291" s="9"/>
      <c r="AK291" s="9"/>
      <c r="AL291" s="9"/>
      <c r="AM291" s="40"/>
      <c r="AN291" s="10" t="str">
        <f aca="false">IF(C291="","",C291&amp;"|"&amp;D291&amp;"|"&amp;E291&amp;"|"&amp;F291&amp;"|"&amp;Y291)</f>
        <v/>
      </c>
    </row>
    <row r="292" customFormat="false" ht="15" hidden="false" customHeight="false" outlineLevel="0" collapsed="false">
      <c r="A292" s="10" t="str">
        <f aca="false">IF(C292="","","RW-"&amp;IFERROR(VLOOKUP(C292,Lists!$M$4:$N$23,2,0),"??")&amp;"-H"&amp;TEXT(D292*1000,"0000")&amp;"-S"&amp;E292&amp;IF(F292="Y","-GW","")&amp;"-"&amp;X292)</f>
        <v/>
      </c>
      <c r="B292" s="10" t="str">
        <f aca="false">IF(C292="","",C292&amp;", H = "&amp;TEXT(D292,"0.0")&amp;" m, q = "&amp;E292&amp;" kPa"&amp;IF(F292="Y",", with GWT",""))</f>
        <v/>
      </c>
      <c r="C292" s="9"/>
      <c r="D292" s="39"/>
      <c r="E292" s="36"/>
      <c r="F292" s="9"/>
      <c r="G292" s="9"/>
      <c r="H292" s="36"/>
      <c r="I292" s="38"/>
      <c r="J292" s="36"/>
      <c r="K292" s="36"/>
      <c r="L292" s="36"/>
      <c r="M292" s="36"/>
      <c r="N292" s="36"/>
      <c r="O292" s="36"/>
      <c r="P292" s="9"/>
      <c r="Q292" s="36"/>
      <c r="R292" s="9"/>
      <c r="S292" s="9"/>
      <c r="T292" s="39"/>
      <c r="U292" s="39"/>
      <c r="V292" s="36"/>
      <c r="W292" s="9"/>
      <c r="X292" s="9"/>
      <c r="Y292" s="9"/>
      <c r="Z292" s="9"/>
      <c r="AA292" s="9"/>
      <c r="AB292" s="9"/>
      <c r="AC292" s="9"/>
      <c r="AD292" s="37"/>
      <c r="AE292" s="38"/>
      <c r="AF292" s="39"/>
      <c r="AG292" s="39"/>
      <c r="AH292" s="9"/>
      <c r="AI292" s="9"/>
      <c r="AJ292" s="9"/>
      <c r="AK292" s="9"/>
      <c r="AL292" s="9"/>
      <c r="AM292" s="40"/>
      <c r="AN292" s="10" t="str">
        <f aca="false">IF(C292="","",C292&amp;"|"&amp;D292&amp;"|"&amp;E292&amp;"|"&amp;F292&amp;"|"&amp;Y292)</f>
        <v/>
      </c>
    </row>
    <row r="293" customFormat="false" ht="15" hidden="false" customHeight="false" outlineLevel="0" collapsed="false">
      <c r="A293" s="10" t="str">
        <f aca="false">IF(C293="","","RW-"&amp;IFERROR(VLOOKUP(C293,Lists!$M$4:$N$23,2,0),"??")&amp;"-H"&amp;TEXT(D293*1000,"0000")&amp;"-S"&amp;E293&amp;IF(F293="Y","-GW","")&amp;"-"&amp;X293)</f>
        <v/>
      </c>
      <c r="B293" s="10" t="str">
        <f aca="false">IF(C293="","",C293&amp;", H = "&amp;TEXT(D293,"0.0")&amp;" m, q = "&amp;E293&amp;" kPa"&amp;IF(F293="Y",", with GWT",""))</f>
        <v/>
      </c>
      <c r="C293" s="9"/>
      <c r="D293" s="39"/>
      <c r="E293" s="36"/>
      <c r="F293" s="9"/>
      <c r="G293" s="9"/>
      <c r="H293" s="36"/>
      <c r="I293" s="38"/>
      <c r="J293" s="36"/>
      <c r="K293" s="36"/>
      <c r="L293" s="36"/>
      <c r="M293" s="36"/>
      <c r="N293" s="36"/>
      <c r="O293" s="36"/>
      <c r="P293" s="9"/>
      <c r="Q293" s="36"/>
      <c r="R293" s="9"/>
      <c r="S293" s="9"/>
      <c r="T293" s="39"/>
      <c r="U293" s="39"/>
      <c r="V293" s="36"/>
      <c r="W293" s="9"/>
      <c r="X293" s="9"/>
      <c r="Y293" s="9"/>
      <c r="Z293" s="9"/>
      <c r="AA293" s="9"/>
      <c r="AB293" s="9"/>
      <c r="AC293" s="9"/>
      <c r="AD293" s="37"/>
      <c r="AE293" s="38"/>
      <c r="AF293" s="39"/>
      <c r="AG293" s="39"/>
      <c r="AH293" s="9"/>
      <c r="AI293" s="9"/>
      <c r="AJ293" s="9"/>
      <c r="AK293" s="9"/>
      <c r="AL293" s="9"/>
      <c r="AM293" s="40"/>
      <c r="AN293" s="10" t="str">
        <f aca="false">IF(C293="","",C293&amp;"|"&amp;D293&amp;"|"&amp;E293&amp;"|"&amp;F293&amp;"|"&amp;Y293)</f>
        <v/>
      </c>
    </row>
    <row r="294" customFormat="false" ht="15" hidden="false" customHeight="false" outlineLevel="0" collapsed="false">
      <c r="A294" s="10" t="str">
        <f aca="false">IF(C294="","","RW-"&amp;IFERROR(VLOOKUP(C294,Lists!$M$4:$N$23,2,0),"??")&amp;"-H"&amp;TEXT(D294*1000,"0000")&amp;"-S"&amp;E294&amp;IF(F294="Y","-GW","")&amp;"-"&amp;X294)</f>
        <v/>
      </c>
      <c r="B294" s="10" t="str">
        <f aca="false">IF(C294="","",C294&amp;", H = "&amp;TEXT(D294,"0.0")&amp;" m, q = "&amp;E294&amp;" kPa"&amp;IF(F294="Y",", with GWT",""))</f>
        <v/>
      </c>
      <c r="C294" s="9"/>
      <c r="D294" s="39"/>
      <c r="E294" s="36"/>
      <c r="F294" s="9"/>
      <c r="G294" s="9"/>
      <c r="H294" s="36"/>
      <c r="I294" s="38"/>
      <c r="J294" s="36"/>
      <c r="K294" s="36"/>
      <c r="L294" s="36"/>
      <c r="M294" s="36"/>
      <c r="N294" s="36"/>
      <c r="O294" s="36"/>
      <c r="P294" s="9"/>
      <c r="Q294" s="36"/>
      <c r="R294" s="9"/>
      <c r="S294" s="9"/>
      <c r="T294" s="39"/>
      <c r="U294" s="39"/>
      <c r="V294" s="36"/>
      <c r="W294" s="9"/>
      <c r="X294" s="9"/>
      <c r="Y294" s="9"/>
      <c r="Z294" s="9"/>
      <c r="AA294" s="9"/>
      <c r="AB294" s="9"/>
      <c r="AC294" s="9"/>
      <c r="AD294" s="37"/>
      <c r="AE294" s="38"/>
      <c r="AF294" s="39"/>
      <c r="AG294" s="39"/>
      <c r="AH294" s="9"/>
      <c r="AI294" s="9"/>
      <c r="AJ294" s="9"/>
      <c r="AK294" s="9"/>
      <c r="AL294" s="9"/>
      <c r="AM294" s="40"/>
      <c r="AN294" s="10" t="str">
        <f aca="false">IF(C294="","",C294&amp;"|"&amp;D294&amp;"|"&amp;E294&amp;"|"&amp;F294&amp;"|"&amp;Y294)</f>
        <v/>
      </c>
    </row>
    <row r="295" customFormat="false" ht="15" hidden="false" customHeight="false" outlineLevel="0" collapsed="false">
      <c r="A295" s="10" t="str">
        <f aca="false">IF(C295="","","RW-"&amp;IFERROR(VLOOKUP(C295,Lists!$M$4:$N$23,2,0),"??")&amp;"-H"&amp;TEXT(D295*1000,"0000")&amp;"-S"&amp;E295&amp;IF(F295="Y","-GW","")&amp;"-"&amp;X295)</f>
        <v/>
      </c>
      <c r="B295" s="10" t="str">
        <f aca="false">IF(C295="","",C295&amp;", H = "&amp;TEXT(D295,"0.0")&amp;" m, q = "&amp;E295&amp;" kPa"&amp;IF(F295="Y",", with GWT",""))</f>
        <v/>
      </c>
      <c r="C295" s="9"/>
      <c r="D295" s="39"/>
      <c r="E295" s="36"/>
      <c r="F295" s="9"/>
      <c r="G295" s="9"/>
      <c r="H295" s="36"/>
      <c r="I295" s="38"/>
      <c r="J295" s="36"/>
      <c r="K295" s="36"/>
      <c r="L295" s="36"/>
      <c r="M295" s="36"/>
      <c r="N295" s="36"/>
      <c r="O295" s="36"/>
      <c r="P295" s="9"/>
      <c r="Q295" s="36"/>
      <c r="R295" s="9"/>
      <c r="S295" s="9"/>
      <c r="T295" s="39"/>
      <c r="U295" s="39"/>
      <c r="V295" s="36"/>
      <c r="W295" s="9"/>
      <c r="X295" s="9"/>
      <c r="Y295" s="9"/>
      <c r="Z295" s="9"/>
      <c r="AA295" s="9"/>
      <c r="AB295" s="9"/>
      <c r="AC295" s="9"/>
      <c r="AD295" s="37"/>
      <c r="AE295" s="38"/>
      <c r="AF295" s="39"/>
      <c r="AG295" s="39"/>
      <c r="AH295" s="9"/>
      <c r="AI295" s="9"/>
      <c r="AJ295" s="9"/>
      <c r="AK295" s="9"/>
      <c r="AL295" s="9"/>
      <c r="AM295" s="40"/>
      <c r="AN295" s="10" t="str">
        <f aca="false">IF(C295="","",C295&amp;"|"&amp;D295&amp;"|"&amp;E295&amp;"|"&amp;F295&amp;"|"&amp;Y295)</f>
        <v/>
      </c>
    </row>
    <row r="296" customFormat="false" ht="15" hidden="false" customHeight="false" outlineLevel="0" collapsed="false">
      <c r="A296" s="10" t="str">
        <f aca="false">IF(C296="","","RW-"&amp;IFERROR(VLOOKUP(C296,Lists!$M$4:$N$23,2,0),"??")&amp;"-H"&amp;TEXT(D296*1000,"0000")&amp;"-S"&amp;E296&amp;IF(F296="Y","-GW","")&amp;"-"&amp;X296)</f>
        <v/>
      </c>
      <c r="B296" s="10" t="str">
        <f aca="false">IF(C296="","",C296&amp;", H = "&amp;TEXT(D296,"0.0")&amp;" m, q = "&amp;E296&amp;" kPa"&amp;IF(F296="Y",", with GWT",""))</f>
        <v/>
      </c>
      <c r="C296" s="9"/>
      <c r="D296" s="39"/>
      <c r="E296" s="36"/>
      <c r="F296" s="9"/>
      <c r="G296" s="9"/>
      <c r="H296" s="36"/>
      <c r="I296" s="38"/>
      <c r="J296" s="36"/>
      <c r="K296" s="36"/>
      <c r="L296" s="36"/>
      <c r="M296" s="36"/>
      <c r="N296" s="36"/>
      <c r="O296" s="36"/>
      <c r="P296" s="9"/>
      <c r="Q296" s="36"/>
      <c r="R296" s="9"/>
      <c r="S296" s="9"/>
      <c r="T296" s="39"/>
      <c r="U296" s="39"/>
      <c r="V296" s="36"/>
      <c r="W296" s="9"/>
      <c r="X296" s="9"/>
      <c r="Y296" s="9"/>
      <c r="Z296" s="9"/>
      <c r="AA296" s="9"/>
      <c r="AB296" s="9"/>
      <c r="AC296" s="9"/>
      <c r="AD296" s="37"/>
      <c r="AE296" s="38"/>
      <c r="AF296" s="39"/>
      <c r="AG296" s="39"/>
      <c r="AH296" s="9"/>
      <c r="AI296" s="9"/>
      <c r="AJ296" s="9"/>
      <c r="AK296" s="9"/>
      <c r="AL296" s="9"/>
      <c r="AM296" s="40"/>
      <c r="AN296" s="10" t="str">
        <f aca="false">IF(C296="","",C296&amp;"|"&amp;D296&amp;"|"&amp;E296&amp;"|"&amp;F296&amp;"|"&amp;Y296)</f>
        <v/>
      </c>
    </row>
    <row r="297" customFormat="false" ht="15" hidden="false" customHeight="false" outlineLevel="0" collapsed="false">
      <c r="A297" s="10" t="str">
        <f aca="false">IF(C297="","","RW-"&amp;IFERROR(VLOOKUP(C297,Lists!$M$4:$N$23,2,0),"??")&amp;"-H"&amp;TEXT(D297*1000,"0000")&amp;"-S"&amp;E297&amp;IF(F297="Y","-GW","")&amp;"-"&amp;X297)</f>
        <v/>
      </c>
      <c r="B297" s="10" t="str">
        <f aca="false">IF(C297="","",C297&amp;", H = "&amp;TEXT(D297,"0.0")&amp;" m, q = "&amp;E297&amp;" kPa"&amp;IF(F297="Y",", with GWT",""))</f>
        <v/>
      </c>
      <c r="C297" s="9"/>
      <c r="D297" s="39"/>
      <c r="E297" s="36"/>
      <c r="F297" s="9"/>
      <c r="G297" s="9"/>
      <c r="H297" s="36"/>
      <c r="I297" s="38"/>
      <c r="J297" s="36"/>
      <c r="K297" s="36"/>
      <c r="L297" s="36"/>
      <c r="M297" s="36"/>
      <c r="N297" s="36"/>
      <c r="O297" s="36"/>
      <c r="P297" s="9"/>
      <c r="Q297" s="36"/>
      <c r="R297" s="9"/>
      <c r="S297" s="9"/>
      <c r="T297" s="39"/>
      <c r="U297" s="39"/>
      <c r="V297" s="36"/>
      <c r="W297" s="9"/>
      <c r="X297" s="9"/>
      <c r="Y297" s="9"/>
      <c r="Z297" s="9"/>
      <c r="AA297" s="9"/>
      <c r="AB297" s="9"/>
      <c r="AC297" s="9"/>
      <c r="AD297" s="37"/>
      <c r="AE297" s="38"/>
      <c r="AF297" s="39"/>
      <c r="AG297" s="39"/>
      <c r="AH297" s="9"/>
      <c r="AI297" s="9"/>
      <c r="AJ297" s="9"/>
      <c r="AK297" s="9"/>
      <c r="AL297" s="9"/>
      <c r="AM297" s="40"/>
      <c r="AN297" s="10" t="str">
        <f aca="false">IF(C297="","",C297&amp;"|"&amp;D297&amp;"|"&amp;E297&amp;"|"&amp;F297&amp;"|"&amp;Y297)</f>
        <v/>
      </c>
    </row>
    <row r="298" customFormat="false" ht="15" hidden="false" customHeight="false" outlineLevel="0" collapsed="false">
      <c r="A298" s="10" t="str">
        <f aca="false">IF(C298="","","RW-"&amp;IFERROR(VLOOKUP(C298,Lists!$M$4:$N$23,2,0),"??")&amp;"-H"&amp;TEXT(D298*1000,"0000")&amp;"-S"&amp;E298&amp;IF(F298="Y","-GW","")&amp;"-"&amp;X298)</f>
        <v/>
      </c>
      <c r="B298" s="10" t="str">
        <f aca="false">IF(C298="","",C298&amp;", H = "&amp;TEXT(D298,"0.0")&amp;" m, q = "&amp;E298&amp;" kPa"&amp;IF(F298="Y",", with GWT",""))</f>
        <v/>
      </c>
      <c r="C298" s="9"/>
      <c r="D298" s="39"/>
      <c r="E298" s="36"/>
      <c r="F298" s="9"/>
      <c r="G298" s="9"/>
      <c r="H298" s="36"/>
      <c r="I298" s="38"/>
      <c r="J298" s="36"/>
      <c r="K298" s="36"/>
      <c r="L298" s="36"/>
      <c r="M298" s="36"/>
      <c r="N298" s="36"/>
      <c r="O298" s="36"/>
      <c r="P298" s="9"/>
      <c r="Q298" s="36"/>
      <c r="R298" s="9"/>
      <c r="S298" s="9"/>
      <c r="T298" s="39"/>
      <c r="U298" s="39"/>
      <c r="V298" s="36"/>
      <c r="W298" s="9"/>
      <c r="X298" s="9"/>
      <c r="Y298" s="9"/>
      <c r="Z298" s="9"/>
      <c r="AA298" s="9"/>
      <c r="AB298" s="9"/>
      <c r="AC298" s="9"/>
      <c r="AD298" s="37"/>
      <c r="AE298" s="38"/>
      <c r="AF298" s="39"/>
      <c r="AG298" s="39"/>
      <c r="AH298" s="9"/>
      <c r="AI298" s="9"/>
      <c r="AJ298" s="9"/>
      <c r="AK298" s="9"/>
      <c r="AL298" s="9"/>
      <c r="AM298" s="40"/>
      <c r="AN298" s="10" t="str">
        <f aca="false">IF(C298="","",C298&amp;"|"&amp;D298&amp;"|"&amp;E298&amp;"|"&amp;F298&amp;"|"&amp;Y298)</f>
        <v/>
      </c>
    </row>
    <row r="299" customFormat="false" ht="15" hidden="false" customHeight="false" outlineLevel="0" collapsed="false">
      <c r="A299" s="10" t="str">
        <f aca="false">IF(C299="","","RW-"&amp;IFERROR(VLOOKUP(C299,Lists!$M$4:$N$23,2,0),"??")&amp;"-H"&amp;TEXT(D299*1000,"0000")&amp;"-S"&amp;E299&amp;IF(F299="Y","-GW","")&amp;"-"&amp;X299)</f>
        <v/>
      </c>
      <c r="B299" s="10" t="str">
        <f aca="false">IF(C299="","",C299&amp;", H = "&amp;TEXT(D299,"0.0")&amp;" m, q = "&amp;E299&amp;" kPa"&amp;IF(F299="Y",", with GWT",""))</f>
        <v/>
      </c>
      <c r="C299" s="9"/>
      <c r="D299" s="39"/>
      <c r="E299" s="36"/>
      <c r="F299" s="9"/>
      <c r="G299" s="9"/>
      <c r="H299" s="36"/>
      <c r="I299" s="38"/>
      <c r="J299" s="36"/>
      <c r="K299" s="36"/>
      <c r="L299" s="36"/>
      <c r="M299" s="36"/>
      <c r="N299" s="36"/>
      <c r="O299" s="36"/>
      <c r="P299" s="9"/>
      <c r="Q299" s="36"/>
      <c r="R299" s="9"/>
      <c r="S299" s="9"/>
      <c r="T299" s="39"/>
      <c r="U299" s="39"/>
      <c r="V299" s="36"/>
      <c r="W299" s="9"/>
      <c r="X299" s="9"/>
      <c r="Y299" s="9"/>
      <c r="Z299" s="9"/>
      <c r="AA299" s="9"/>
      <c r="AB299" s="9"/>
      <c r="AC299" s="9"/>
      <c r="AD299" s="37"/>
      <c r="AE299" s="38"/>
      <c r="AF299" s="39"/>
      <c r="AG299" s="39"/>
      <c r="AH299" s="9"/>
      <c r="AI299" s="9"/>
      <c r="AJ299" s="9"/>
      <c r="AK299" s="9"/>
      <c r="AL299" s="9"/>
      <c r="AM299" s="40"/>
      <c r="AN299" s="10" t="str">
        <f aca="false">IF(C299="","",C299&amp;"|"&amp;D299&amp;"|"&amp;E299&amp;"|"&amp;F299&amp;"|"&amp;Y299)</f>
        <v/>
      </c>
    </row>
    <row r="300" customFormat="false" ht="15" hidden="false" customHeight="false" outlineLevel="0" collapsed="false">
      <c r="A300" s="10" t="str">
        <f aca="false">IF(C300="","","RW-"&amp;IFERROR(VLOOKUP(C300,Lists!$M$4:$N$23,2,0),"??")&amp;"-H"&amp;TEXT(D300*1000,"0000")&amp;"-S"&amp;E300&amp;IF(F300="Y","-GW","")&amp;"-"&amp;X300)</f>
        <v/>
      </c>
      <c r="B300" s="10" t="str">
        <f aca="false">IF(C300="","",C300&amp;", H = "&amp;TEXT(D300,"0.0")&amp;" m, q = "&amp;E300&amp;" kPa"&amp;IF(F300="Y",", with GWT",""))</f>
        <v/>
      </c>
      <c r="C300" s="9"/>
      <c r="D300" s="39"/>
      <c r="E300" s="36"/>
      <c r="F300" s="9"/>
      <c r="G300" s="9"/>
      <c r="H300" s="36"/>
      <c r="I300" s="38"/>
      <c r="J300" s="36"/>
      <c r="K300" s="36"/>
      <c r="L300" s="36"/>
      <c r="M300" s="36"/>
      <c r="N300" s="36"/>
      <c r="O300" s="36"/>
      <c r="P300" s="9"/>
      <c r="Q300" s="36"/>
      <c r="R300" s="9"/>
      <c r="S300" s="9"/>
      <c r="T300" s="39"/>
      <c r="U300" s="39"/>
      <c r="V300" s="36"/>
      <c r="W300" s="9"/>
      <c r="X300" s="9"/>
      <c r="Y300" s="9"/>
      <c r="Z300" s="9"/>
      <c r="AA300" s="9"/>
      <c r="AB300" s="9"/>
      <c r="AC300" s="9"/>
      <c r="AD300" s="37"/>
      <c r="AE300" s="38"/>
      <c r="AF300" s="39"/>
      <c r="AG300" s="39"/>
      <c r="AH300" s="9"/>
      <c r="AI300" s="9"/>
      <c r="AJ300" s="9"/>
      <c r="AK300" s="9"/>
      <c r="AL300" s="9"/>
      <c r="AM300" s="40"/>
      <c r="AN300" s="10" t="str">
        <f aca="false">IF(C300="","",C300&amp;"|"&amp;D300&amp;"|"&amp;E300&amp;"|"&amp;F300&amp;"|"&amp;Y300)</f>
        <v/>
      </c>
    </row>
    <row r="301" customFormat="false" ht="15" hidden="false" customHeight="false" outlineLevel="0" collapsed="false">
      <c r="A301" s="10" t="str">
        <f aca="false">IF(C301="","","RW-"&amp;IFERROR(VLOOKUP(C301,Lists!$M$4:$N$23,2,0),"??")&amp;"-H"&amp;TEXT(D301*1000,"0000")&amp;"-S"&amp;E301&amp;IF(F301="Y","-GW","")&amp;"-"&amp;X301)</f>
        <v/>
      </c>
      <c r="B301" s="10" t="str">
        <f aca="false">IF(C301="","",C301&amp;", H = "&amp;TEXT(D301,"0.0")&amp;" m, q = "&amp;E301&amp;" kPa"&amp;IF(F301="Y",", with GWT",""))</f>
        <v/>
      </c>
      <c r="C301" s="9"/>
      <c r="D301" s="39"/>
      <c r="E301" s="36"/>
      <c r="F301" s="9"/>
      <c r="G301" s="9"/>
      <c r="H301" s="36"/>
      <c r="I301" s="38"/>
      <c r="J301" s="36"/>
      <c r="K301" s="36"/>
      <c r="L301" s="36"/>
      <c r="M301" s="36"/>
      <c r="N301" s="36"/>
      <c r="O301" s="36"/>
      <c r="P301" s="9"/>
      <c r="Q301" s="36"/>
      <c r="R301" s="9"/>
      <c r="S301" s="9"/>
      <c r="T301" s="39"/>
      <c r="U301" s="39"/>
      <c r="V301" s="36"/>
      <c r="W301" s="9"/>
      <c r="X301" s="9"/>
      <c r="Y301" s="9"/>
      <c r="Z301" s="9"/>
      <c r="AA301" s="9"/>
      <c r="AB301" s="9"/>
      <c r="AC301" s="9"/>
      <c r="AD301" s="37"/>
      <c r="AE301" s="38"/>
      <c r="AF301" s="39"/>
      <c r="AG301" s="39"/>
      <c r="AH301" s="9"/>
      <c r="AI301" s="9"/>
      <c r="AJ301" s="9"/>
      <c r="AK301" s="9"/>
      <c r="AL301" s="9"/>
      <c r="AM301" s="40"/>
      <c r="AN301" s="10" t="str">
        <f aca="false">IF(C301="","",C301&amp;"|"&amp;D301&amp;"|"&amp;E301&amp;"|"&amp;F301&amp;"|"&amp;Y301)</f>
        <v/>
      </c>
    </row>
    <row r="302" customFormat="false" ht="15" hidden="false" customHeight="false" outlineLevel="0" collapsed="false">
      <c r="A302" s="10" t="str">
        <f aca="false">IF(C302="","","RW-"&amp;IFERROR(VLOOKUP(C302,Lists!$M$4:$N$23,2,0),"??")&amp;"-H"&amp;TEXT(D302*1000,"0000")&amp;"-S"&amp;E302&amp;IF(F302="Y","-GW","")&amp;"-"&amp;X302)</f>
        <v/>
      </c>
      <c r="B302" s="10" t="str">
        <f aca="false">IF(C302="","",C302&amp;", H = "&amp;TEXT(D302,"0.0")&amp;" m, q = "&amp;E302&amp;" kPa"&amp;IF(F302="Y",", with GWT",""))</f>
        <v/>
      </c>
      <c r="C302" s="9"/>
      <c r="D302" s="39"/>
      <c r="E302" s="36"/>
      <c r="F302" s="9"/>
      <c r="G302" s="9"/>
      <c r="H302" s="36"/>
      <c r="I302" s="38"/>
      <c r="J302" s="36"/>
      <c r="K302" s="36"/>
      <c r="L302" s="36"/>
      <c r="M302" s="36"/>
      <c r="N302" s="36"/>
      <c r="O302" s="36"/>
      <c r="P302" s="9"/>
      <c r="Q302" s="36"/>
      <c r="R302" s="9"/>
      <c r="S302" s="9"/>
      <c r="T302" s="39"/>
      <c r="U302" s="39"/>
      <c r="V302" s="36"/>
      <c r="W302" s="9"/>
      <c r="X302" s="9"/>
      <c r="Y302" s="9"/>
      <c r="Z302" s="9"/>
      <c r="AA302" s="9"/>
      <c r="AB302" s="9"/>
      <c r="AC302" s="9"/>
      <c r="AD302" s="37"/>
      <c r="AE302" s="38"/>
      <c r="AF302" s="39"/>
      <c r="AG302" s="39"/>
      <c r="AH302" s="9"/>
      <c r="AI302" s="9"/>
      <c r="AJ302" s="9"/>
      <c r="AK302" s="9"/>
      <c r="AL302" s="9"/>
      <c r="AM302" s="40"/>
      <c r="AN302" s="10" t="str">
        <f aca="false">IF(C302="","",C302&amp;"|"&amp;D302&amp;"|"&amp;E302&amp;"|"&amp;F302&amp;"|"&amp;Y302)</f>
        <v/>
      </c>
    </row>
    <row r="303" customFormat="false" ht="15" hidden="false" customHeight="false" outlineLevel="0" collapsed="false">
      <c r="A303" s="10" t="str">
        <f aca="false">IF(C303="","","RW-"&amp;IFERROR(VLOOKUP(C303,Lists!$M$4:$N$23,2,0),"??")&amp;"-H"&amp;TEXT(D303*1000,"0000")&amp;"-S"&amp;E303&amp;IF(F303="Y","-GW","")&amp;"-"&amp;X303)</f>
        <v/>
      </c>
      <c r="B303" s="10" t="str">
        <f aca="false">IF(C303="","",C303&amp;", H = "&amp;TEXT(D303,"0.0")&amp;" m, q = "&amp;E303&amp;" kPa"&amp;IF(F303="Y",", with GWT",""))</f>
        <v/>
      </c>
      <c r="C303" s="9"/>
      <c r="D303" s="39"/>
      <c r="E303" s="36"/>
      <c r="F303" s="9"/>
      <c r="G303" s="9"/>
      <c r="H303" s="36"/>
      <c r="I303" s="38"/>
      <c r="J303" s="36"/>
      <c r="K303" s="36"/>
      <c r="L303" s="36"/>
      <c r="M303" s="36"/>
      <c r="N303" s="36"/>
      <c r="O303" s="36"/>
      <c r="P303" s="9"/>
      <c r="Q303" s="36"/>
      <c r="R303" s="9"/>
      <c r="S303" s="9"/>
      <c r="T303" s="39"/>
      <c r="U303" s="39"/>
      <c r="V303" s="36"/>
      <c r="W303" s="9"/>
      <c r="X303" s="9"/>
      <c r="Y303" s="9"/>
      <c r="Z303" s="9"/>
      <c r="AA303" s="9"/>
      <c r="AB303" s="9"/>
      <c r="AC303" s="9"/>
      <c r="AD303" s="37"/>
      <c r="AE303" s="38"/>
      <c r="AF303" s="39"/>
      <c r="AG303" s="39"/>
      <c r="AH303" s="9"/>
      <c r="AI303" s="9"/>
      <c r="AJ303" s="9"/>
      <c r="AK303" s="9"/>
      <c r="AL303" s="9"/>
      <c r="AM303" s="40"/>
      <c r="AN303" s="10" t="str">
        <f aca="false">IF(C303="","",C303&amp;"|"&amp;D303&amp;"|"&amp;E303&amp;"|"&amp;F303&amp;"|"&amp;Y303)</f>
        <v/>
      </c>
    </row>
    <row r="304" customFormat="false" ht="15" hidden="false" customHeight="false" outlineLevel="0" collapsed="false">
      <c r="A304" s="10" t="str">
        <f aca="false">IF(C304="","","RW-"&amp;IFERROR(VLOOKUP(C304,Lists!$M$4:$N$23,2,0),"??")&amp;"-H"&amp;TEXT(D304*1000,"0000")&amp;"-S"&amp;E304&amp;IF(F304="Y","-GW","")&amp;"-"&amp;X304)</f>
        <v/>
      </c>
      <c r="B304" s="10" t="str">
        <f aca="false">IF(C304="","",C304&amp;", H = "&amp;TEXT(D304,"0.0")&amp;" m, q = "&amp;E304&amp;" kPa"&amp;IF(F304="Y",", with GWT",""))</f>
        <v/>
      </c>
      <c r="C304" s="9"/>
      <c r="D304" s="39"/>
      <c r="E304" s="36"/>
      <c r="F304" s="9"/>
      <c r="G304" s="9"/>
      <c r="H304" s="36"/>
      <c r="I304" s="38"/>
      <c r="J304" s="36"/>
      <c r="K304" s="36"/>
      <c r="L304" s="36"/>
      <c r="M304" s="36"/>
      <c r="N304" s="36"/>
      <c r="O304" s="36"/>
      <c r="P304" s="9"/>
      <c r="Q304" s="36"/>
      <c r="R304" s="9"/>
      <c r="S304" s="9"/>
      <c r="T304" s="39"/>
      <c r="U304" s="39"/>
      <c r="V304" s="36"/>
      <c r="W304" s="9"/>
      <c r="X304" s="9"/>
      <c r="Y304" s="9"/>
      <c r="Z304" s="9"/>
      <c r="AA304" s="9"/>
      <c r="AB304" s="9"/>
      <c r="AC304" s="9"/>
      <c r="AD304" s="37"/>
      <c r="AE304" s="38"/>
      <c r="AF304" s="39"/>
      <c r="AG304" s="39"/>
      <c r="AH304" s="9"/>
      <c r="AI304" s="9"/>
      <c r="AJ304" s="9"/>
      <c r="AK304" s="9"/>
      <c r="AL304" s="9"/>
      <c r="AM304" s="40"/>
      <c r="AN304" s="10" t="str">
        <f aca="false">IF(C304="","",C304&amp;"|"&amp;D304&amp;"|"&amp;E304&amp;"|"&amp;F304&amp;"|"&amp;Y304)</f>
        <v/>
      </c>
    </row>
  </sheetData>
  <dataValidations count="5">
    <dataValidation allowBlank="true" error="Pick a value from the list (add new values on the Lists sheet)." errorStyle="stop" errorTitle="Not in list" operator="between" showDropDown="false" showErrorMessage="false" showInputMessage="false" sqref="C5:C304" type="list">
      <formula1>Lists!$M$4:$M$23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F5:F304" type="list">
      <formula1>Lists!$S$4:$S$16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G5:G304" type="list">
      <formula1>Lists!$V$4:$V$20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P5:P304" type="list">
      <formula1>Lists!$AE$4:$AE$20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Y5:Y304" type="list">
      <formula1>Lists!$P$4:$P$18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C3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8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false" outlineLevel="0" max="13" min="13" style="0" width="5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8" min="16" style="0" width="34"/>
    <col collapsed="false" customWidth="true" hidden="false" outlineLevel="0" max="19" min="19" style="0" width="7"/>
    <col collapsed="false" customWidth="true" hidden="false" outlineLevel="0" max="23" min="20" style="0" width="10"/>
    <col collapsed="false" customWidth="true" hidden="false" outlineLevel="0" max="24" min="24" style="0" width="34"/>
    <col collapsed="false" customWidth="true" hidden="false" outlineLevel="0" max="25" min="25" style="0" width="24"/>
    <col collapsed="false" customWidth="true" hidden="false" outlineLevel="0" max="27" min="26" style="0" width="10"/>
    <col collapsed="false" customWidth="true" hidden="false" outlineLevel="0" max="29" min="28" style="0" width="11"/>
  </cols>
  <sheetData>
    <row r="1" customFormat="false" ht="17.35" hidden="false" customHeight="false" outlineLevel="0" collapsed="false">
      <c r="A1" s="5" t="s">
        <v>360</v>
      </c>
    </row>
    <row r="2" customFormat="false" ht="15" hidden="false" customHeight="false" outlineLevel="0" collapsed="false">
      <c r="A2" s="6" t="s">
        <v>361</v>
      </c>
    </row>
    <row r="3" customFormat="false" ht="15" hidden="false" customHeight="false" outlineLevel="0" collapsed="false">
      <c r="A3" s="6" t="s">
        <v>221</v>
      </c>
    </row>
    <row r="4" customFormat="false" ht="42" hidden="false" customHeight="true" outlineLevel="0" collapsed="false">
      <c r="A4" s="17" t="s">
        <v>77</v>
      </c>
      <c r="B4" s="17" t="s">
        <v>78</v>
      </c>
      <c r="C4" s="16" t="s">
        <v>158</v>
      </c>
      <c r="D4" s="16" t="s">
        <v>362</v>
      </c>
      <c r="E4" s="16" t="s">
        <v>363</v>
      </c>
      <c r="F4" s="16" t="s">
        <v>364</v>
      </c>
      <c r="G4" s="16" t="s">
        <v>365</v>
      </c>
      <c r="H4" s="16" t="s">
        <v>366</v>
      </c>
      <c r="I4" s="16" t="s">
        <v>367</v>
      </c>
      <c r="J4" s="16" t="s">
        <v>368</v>
      </c>
      <c r="K4" s="16" t="s">
        <v>369</v>
      </c>
      <c r="L4" s="16" t="s">
        <v>233</v>
      </c>
      <c r="M4" s="16" t="s">
        <v>79</v>
      </c>
      <c r="N4" s="16" t="s">
        <v>100</v>
      </c>
      <c r="O4" s="16" t="s">
        <v>80</v>
      </c>
      <c r="P4" s="16" t="s">
        <v>234</v>
      </c>
      <c r="Q4" s="16" t="s">
        <v>235</v>
      </c>
      <c r="R4" s="16" t="s">
        <v>236</v>
      </c>
      <c r="S4" s="16" t="s">
        <v>370</v>
      </c>
      <c r="T4" s="18" t="s">
        <v>371</v>
      </c>
      <c r="U4" s="18" t="s">
        <v>372</v>
      </c>
      <c r="V4" s="18" t="s">
        <v>373</v>
      </c>
      <c r="W4" s="18" t="s">
        <v>374</v>
      </c>
      <c r="X4" s="16" t="s">
        <v>239</v>
      </c>
      <c r="Y4" s="16" t="s">
        <v>240</v>
      </c>
      <c r="Z4" s="16" t="s">
        <v>241</v>
      </c>
      <c r="AA4" s="16" t="s">
        <v>242</v>
      </c>
      <c r="AB4" s="16" t="s">
        <v>243</v>
      </c>
      <c r="AC4" s="16" t="s">
        <v>244</v>
      </c>
    </row>
    <row r="5" customFormat="false" ht="15" hidden="false" customHeight="false" outlineLevel="0" collapsed="false">
      <c r="A5" s="10" t="str">
        <f aca="false">IF(C5="","",IFERROR(VLOOKUP(C5,Lists!$Y$4:$Z$20,2,0),"??")&amp;"-"&amp;UPPER(SUBSTITUTE(D5," ",""))&amp;IF(E5&lt;&gt;"","-SP"&amp;TEXT(E5*1000,"0"),"")&amp;IF(F5&lt;&gt;"","-H"&amp;TEXT(F5*1000,"0"),"")&amp;"-"&amp;M5)</f>
        <v>LKW-SINGLESPAN-SP6000-H3000-A</v>
      </c>
      <c r="B5" s="10" t="str">
        <f aca="false">IF(C5="","",C5&amp;" - "&amp;D5&amp;IF(E5&lt;&gt;"",", span "&amp;E5&amp;" m","")&amp;IF(F5&lt;&gt;"",", H "&amp;F5&amp;" m","")&amp;IF(G5&lt;&gt;"",", W "&amp;G5&amp;" m",""))</f>
        <v>LTA Linkway - Single Span, span 6 m, H 3 m, W 2.4 m</v>
      </c>
      <c r="C5" s="19" t="s">
        <v>167</v>
      </c>
      <c r="D5" s="19" t="s">
        <v>375</v>
      </c>
      <c r="E5" s="33" t="n">
        <v>6</v>
      </c>
      <c r="F5" s="33" t="n">
        <v>3</v>
      </c>
      <c r="G5" s="33" t="n">
        <v>2.4</v>
      </c>
      <c r="H5" s="19" t="s">
        <v>376</v>
      </c>
      <c r="I5" s="19" t="s">
        <v>377</v>
      </c>
      <c r="J5" s="19" t="s">
        <v>378</v>
      </c>
      <c r="K5" s="19" t="s">
        <v>379</v>
      </c>
      <c r="L5" s="19" t="s">
        <v>380</v>
      </c>
      <c r="M5" s="19" t="s">
        <v>250</v>
      </c>
      <c r="N5" s="19" t="s">
        <v>148</v>
      </c>
      <c r="O5" s="19" t="s">
        <v>381</v>
      </c>
      <c r="P5" s="19" t="s">
        <v>382</v>
      </c>
      <c r="Q5" s="19" t="s">
        <v>383</v>
      </c>
      <c r="R5" s="19" t="s">
        <v>384</v>
      </c>
      <c r="S5" s="19" t="s">
        <v>199</v>
      </c>
      <c r="T5" s="32" t="n">
        <v>1.2</v>
      </c>
      <c r="U5" s="33" t="n">
        <v>950</v>
      </c>
      <c r="V5" s="34" t="n">
        <v>4.8</v>
      </c>
      <c r="W5" s="34" t="n">
        <v>2.5</v>
      </c>
      <c r="X5" s="19" t="s">
        <v>385</v>
      </c>
      <c r="Y5" s="19"/>
      <c r="Z5" s="19" t="s">
        <v>256</v>
      </c>
      <c r="AA5" s="19" t="s">
        <v>256</v>
      </c>
      <c r="AB5" s="19" t="s">
        <v>256</v>
      </c>
      <c r="AC5" s="35" t="n">
        <v>46309</v>
      </c>
    </row>
    <row r="6" customFormat="false" ht="15" hidden="false" customHeight="false" outlineLevel="0" collapsed="false">
      <c r="A6" s="10" t="str">
        <f aca="false">IF(C6="","",IFERROR(VLOOKUP(C6,Lists!$Y$4:$Z$20,2,0),"??")&amp;"-"&amp;UPPER(SUBSTITUTE(D6," ",""))&amp;IF(E6&lt;&gt;"","-SP"&amp;TEXT(E6*1000,"0"),"")&amp;IF(F6&lt;&gt;"","-H"&amp;TEXT(F6*1000,"0"),"")&amp;"-"&amp;M6)</f>
        <v>LKW-DOUBLESPAN-SP6000-H3000-A</v>
      </c>
      <c r="B6" s="10" t="str">
        <f aca="false">IF(C6="","",C6&amp;" - "&amp;D6&amp;IF(E6&lt;&gt;"",", span "&amp;E6&amp;" m","")&amp;IF(F6&lt;&gt;"",", H "&amp;F6&amp;" m","")&amp;IF(G6&lt;&gt;"",", W "&amp;G6&amp;" m",""))</f>
        <v>LTA Linkway - Double Span, span 6 m, H 3 m, W 3.6 m</v>
      </c>
      <c r="C6" s="19" t="s">
        <v>167</v>
      </c>
      <c r="D6" s="19" t="s">
        <v>386</v>
      </c>
      <c r="E6" s="33" t="n">
        <v>6</v>
      </c>
      <c r="F6" s="33" t="n">
        <v>3</v>
      </c>
      <c r="G6" s="33" t="n">
        <v>3.6</v>
      </c>
      <c r="H6" s="19" t="s">
        <v>376</v>
      </c>
      <c r="I6" s="19" t="s">
        <v>377</v>
      </c>
      <c r="J6" s="19" t="s">
        <v>378</v>
      </c>
      <c r="K6" s="19" t="s">
        <v>387</v>
      </c>
      <c r="L6" s="19" t="s">
        <v>380</v>
      </c>
      <c r="M6" s="19" t="s">
        <v>250</v>
      </c>
      <c r="N6" s="19" t="s">
        <v>148</v>
      </c>
      <c r="O6" s="19" t="s">
        <v>388</v>
      </c>
      <c r="P6" s="19" t="s">
        <v>389</v>
      </c>
      <c r="Q6" s="19" t="s">
        <v>390</v>
      </c>
      <c r="R6" s="19" t="s">
        <v>391</v>
      </c>
      <c r="S6" s="19" t="s">
        <v>199</v>
      </c>
      <c r="T6" s="32" t="n">
        <v>1.5</v>
      </c>
      <c r="U6" s="33" t="n">
        <v>1350</v>
      </c>
      <c r="V6" s="34" t="n">
        <v>5.6</v>
      </c>
      <c r="W6" s="34" t="n">
        <v>3</v>
      </c>
      <c r="X6" s="19" t="s">
        <v>262</v>
      </c>
      <c r="Y6" s="19"/>
      <c r="Z6" s="19" t="s">
        <v>256</v>
      </c>
      <c r="AA6" s="19" t="s">
        <v>256</v>
      </c>
      <c r="AB6" s="19" t="s">
        <v>256</v>
      </c>
      <c r="AC6" s="35" t="n">
        <v>46309</v>
      </c>
    </row>
    <row r="7" customFormat="false" ht="15" hidden="false" customHeight="false" outlineLevel="0" collapsed="false">
      <c r="A7" s="10" t="str">
        <f aca="false">IF(C7="","",IFERROR(VLOOKUP(C7,Lists!$Y$4:$Z$20,2,0),"??")&amp;"-"&amp;UPPER(SUBSTITUTE(D7," ",""))&amp;IF(E7&lt;&gt;"","-SP"&amp;TEXT(E7*1000,"0"),"")&amp;IF(F7&lt;&gt;"","-H"&amp;TEXT(F7*1000,"0"),"")&amp;"-"&amp;M7)</f>
        <v>RLG-PEDESTRIAN-H1000-A</v>
      </c>
      <c r="B7" s="10" t="str">
        <f aca="false">IF(C7="","",C7&amp;" - "&amp;D7&amp;IF(E7&lt;&gt;"",", span "&amp;E7&amp;" m","")&amp;IF(F7&lt;&gt;"",", H "&amp;F7&amp;" m","")&amp;IF(G7&lt;&gt;"",", W "&amp;G7&amp;" m",""))</f>
        <v>Railing - Pedestrian, H 1 m</v>
      </c>
      <c r="C7" s="19" t="s">
        <v>178</v>
      </c>
      <c r="D7" s="19" t="s">
        <v>140</v>
      </c>
      <c r="E7" s="33"/>
      <c r="F7" s="33" t="n">
        <v>1</v>
      </c>
      <c r="G7" s="33"/>
      <c r="H7" s="19" t="s">
        <v>392</v>
      </c>
      <c r="I7" s="19" t="s">
        <v>393</v>
      </c>
      <c r="J7" s="19" t="s">
        <v>394</v>
      </c>
      <c r="K7" s="19" t="s">
        <v>395</v>
      </c>
      <c r="L7" s="19" t="s">
        <v>380</v>
      </c>
      <c r="M7" s="19" t="s">
        <v>250</v>
      </c>
      <c r="N7" s="19" t="s">
        <v>148</v>
      </c>
      <c r="O7" s="19" t="s">
        <v>396</v>
      </c>
      <c r="P7" s="19" t="s">
        <v>397</v>
      </c>
      <c r="Q7" s="19" t="s">
        <v>398</v>
      </c>
      <c r="R7" s="19" t="s">
        <v>399</v>
      </c>
      <c r="S7" s="19" t="s">
        <v>169</v>
      </c>
      <c r="T7" s="32" t="n">
        <v>0</v>
      </c>
      <c r="U7" s="33" t="n">
        <v>18</v>
      </c>
      <c r="V7" s="34" t="n">
        <v>0</v>
      </c>
      <c r="W7" s="34" t="n">
        <v>0</v>
      </c>
      <c r="X7" s="19" t="s">
        <v>262</v>
      </c>
      <c r="Y7" s="19"/>
      <c r="Z7" s="19" t="s">
        <v>256</v>
      </c>
      <c r="AA7" s="19" t="s">
        <v>256</v>
      </c>
      <c r="AB7" s="19" t="s">
        <v>256</v>
      </c>
      <c r="AC7" s="35" t="n">
        <v>46309</v>
      </c>
    </row>
    <row r="8" customFormat="false" ht="15" hidden="false" customHeight="false" outlineLevel="0" collapsed="false">
      <c r="A8" s="10" t="str">
        <f aca="false">IF(C8="","",IFERROR(VLOOKUP(C8,Lists!$Y$4:$Z$20,2,0),"??")&amp;"-"&amp;UPPER(SUBSTITUTE(D8," ",""))&amp;IF(E8&lt;&gt;"","-SP"&amp;TEXT(E8*1000,"0"),"")&amp;IF(F8&lt;&gt;"","-H"&amp;TEXT(F8*1000,"0"),"")&amp;"-"&amp;M8)</f>
        <v>RLG-PARAPET-H1100-A</v>
      </c>
      <c r="B8" s="10" t="str">
        <f aca="false">IF(C8="","",C8&amp;" - "&amp;D8&amp;IF(E8&lt;&gt;"",", span "&amp;E8&amp;" m","")&amp;IF(F8&lt;&gt;"",", H "&amp;F8&amp;" m","")&amp;IF(G8&lt;&gt;"",", W "&amp;G8&amp;" m",""))</f>
        <v>Railing - Parapet, H 1.1 m</v>
      </c>
      <c r="C8" s="19" t="s">
        <v>178</v>
      </c>
      <c r="D8" s="19" t="s">
        <v>400</v>
      </c>
      <c r="E8" s="33"/>
      <c r="F8" s="33" t="n">
        <v>1.1</v>
      </c>
      <c r="G8" s="33"/>
      <c r="H8" s="19" t="s">
        <v>401</v>
      </c>
      <c r="I8" s="19" t="s">
        <v>402</v>
      </c>
      <c r="J8" s="19" t="s">
        <v>394</v>
      </c>
      <c r="K8" s="19" t="s">
        <v>403</v>
      </c>
      <c r="L8" s="19" t="s">
        <v>380</v>
      </c>
      <c r="M8" s="19" t="s">
        <v>250</v>
      </c>
      <c r="N8" s="19" t="s">
        <v>147</v>
      </c>
      <c r="O8" s="19" t="s">
        <v>404</v>
      </c>
      <c r="P8" s="19" t="s">
        <v>405</v>
      </c>
      <c r="Q8" s="19" t="s">
        <v>406</v>
      </c>
      <c r="R8" s="19" t="s">
        <v>407</v>
      </c>
      <c r="S8" s="19" t="s">
        <v>169</v>
      </c>
      <c r="T8" s="32" t="n">
        <v>0</v>
      </c>
      <c r="U8" s="33" t="n">
        <v>32</v>
      </c>
      <c r="V8" s="34" t="n">
        <v>0</v>
      </c>
      <c r="W8" s="34" t="n">
        <v>0</v>
      </c>
      <c r="X8" s="19" t="s">
        <v>262</v>
      </c>
      <c r="Y8" s="19"/>
      <c r="Z8" s="19" t="s">
        <v>256</v>
      </c>
      <c r="AA8" s="19" t="s">
        <v>256</v>
      </c>
      <c r="AB8" s="19" t="s">
        <v>256</v>
      </c>
      <c r="AC8" s="35" t="n">
        <v>46309</v>
      </c>
    </row>
    <row r="9" customFormat="false" ht="15" hidden="false" customHeight="false" outlineLevel="0" collapsed="false">
      <c r="A9" s="10" t="str">
        <f aca="false">IF(C9="","",IFERROR(VLOOKUP(C9,Lists!$Y$4:$Z$20,2,0),"??")&amp;"-"&amp;UPPER(SUBSTITUTE(D9," ",""))&amp;IF(E9&lt;&gt;"","-SP"&amp;TEXT(E9*1000,"0"),"")&amp;IF(F9&lt;&gt;"","-H"&amp;TEXT(F9*1000,"0"),"")&amp;"-"&amp;M9)</f>
        <v>STR-RCSTRAIGHTFLIGHT-SP3600-H3000-A</v>
      </c>
      <c r="B9" s="10" t="str">
        <f aca="false">IF(C9="","",C9&amp;" - "&amp;D9&amp;IF(E9&lt;&gt;"",", span "&amp;E9&amp;" m","")&amp;IF(F9&lt;&gt;"",", H "&amp;F9&amp;" m","")&amp;IF(G9&lt;&gt;"",", W "&amp;G9&amp;" m",""))</f>
        <v>Staircase - RC Straight Flight, span 3.6 m, H 3 m, W 1.5 m</v>
      </c>
      <c r="C9" s="19" t="s">
        <v>188</v>
      </c>
      <c r="D9" s="19" t="s">
        <v>408</v>
      </c>
      <c r="E9" s="33" t="n">
        <v>3.6</v>
      </c>
      <c r="F9" s="33" t="n">
        <v>3</v>
      </c>
      <c r="G9" s="33" t="n">
        <v>1.5</v>
      </c>
      <c r="H9" s="19" t="s">
        <v>409</v>
      </c>
      <c r="I9" s="19" t="s">
        <v>410</v>
      </c>
      <c r="J9" s="19" t="s">
        <v>411</v>
      </c>
      <c r="K9" s="19" t="s">
        <v>412</v>
      </c>
      <c r="L9" s="19" t="s">
        <v>380</v>
      </c>
      <c r="M9" s="19" t="s">
        <v>250</v>
      </c>
      <c r="N9" s="19" t="s">
        <v>148</v>
      </c>
      <c r="O9" s="19" t="s">
        <v>413</v>
      </c>
      <c r="P9" s="19" t="s">
        <v>414</v>
      </c>
      <c r="Q9" s="19" t="s">
        <v>415</v>
      </c>
      <c r="R9" s="19" t="s">
        <v>416</v>
      </c>
      <c r="S9" s="19" t="s">
        <v>180</v>
      </c>
      <c r="T9" s="32" t="n">
        <v>2.4</v>
      </c>
      <c r="U9" s="33" t="n">
        <v>210</v>
      </c>
      <c r="V9" s="34" t="n">
        <v>12.5</v>
      </c>
      <c r="W9" s="34" t="n">
        <v>1.8</v>
      </c>
      <c r="X9" s="19" t="s">
        <v>417</v>
      </c>
      <c r="Y9" s="19"/>
      <c r="Z9" s="19" t="s">
        <v>256</v>
      </c>
      <c r="AA9" s="19" t="s">
        <v>256</v>
      </c>
      <c r="AB9" s="19" t="s">
        <v>256</v>
      </c>
      <c r="AC9" s="35" t="n">
        <v>46309</v>
      </c>
    </row>
    <row r="10" customFormat="false" ht="15" hidden="false" customHeight="false" outlineLevel="0" collapsed="false">
      <c r="A10" s="10" t="str">
        <f aca="false">IF(C10="","",IFERROR(VLOOKUP(C10,Lists!$Y$4:$Z$20,2,0),"??")&amp;"-"&amp;UPPER(SUBSTITUTE(D10," ",""))&amp;IF(E10&lt;&gt;"","-SP"&amp;TEXT(E10*1000,"0"),"")&amp;IF(F10&lt;&gt;"","-H"&amp;TEXT(F10*1000,"0"),"")&amp;"-"&amp;M10)</f>
        <v>POB-STEELTRUSSWITHLIFT-SP30000-H5700-A</v>
      </c>
      <c r="B10" s="10" t="str">
        <f aca="false">IF(C10="","",C10&amp;" - "&amp;D10&amp;IF(E10&lt;&gt;"",", span "&amp;E10&amp;" m","")&amp;IF(F10&lt;&gt;"",", H "&amp;F10&amp;" m","")&amp;IF(G10&lt;&gt;"",", W "&amp;G10&amp;" m",""))</f>
        <v>POB - Steel Truss with Lift, span 30 m, H 5.7 m, W 3 m</v>
      </c>
      <c r="C10" s="19" t="s">
        <v>198</v>
      </c>
      <c r="D10" s="19" t="s">
        <v>418</v>
      </c>
      <c r="E10" s="33" t="n">
        <v>30</v>
      </c>
      <c r="F10" s="33" t="n">
        <v>5.7</v>
      </c>
      <c r="G10" s="33" t="n">
        <v>3</v>
      </c>
      <c r="H10" s="19" t="s">
        <v>419</v>
      </c>
      <c r="I10" s="19" t="s">
        <v>420</v>
      </c>
      <c r="J10" s="19" t="s">
        <v>421</v>
      </c>
      <c r="K10" s="19" t="s">
        <v>422</v>
      </c>
      <c r="L10" s="19" t="s">
        <v>380</v>
      </c>
      <c r="M10" s="19" t="s">
        <v>250</v>
      </c>
      <c r="N10" s="19" t="s">
        <v>146</v>
      </c>
      <c r="O10" s="19" t="s">
        <v>423</v>
      </c>
      <c r="P10" s="19" t="s">
        <v>424</v>
      </c>
      <c r="Q10" s="19" t="s">
        <v>425</v>
      </c>
      <c r="R10" s="19" t="s">
        <v>426</v>
      </c>
      <c r="S10" s="19" t="s">
        <v>180</v>
      </c>
      <c r="T10" s="32" t="n">
        <v>85</v>
      </c>
      <c r="U10" s="33" t="n">
        <v>52000</v>
      </c>
      <c r="V10" s="34" t="n">
        <v>210</v>
      </c>
      <c r="W10" s="34" t="n">
        <v>120</v>
      </c>
      <c r="X10" s="19" t="s">
        <v>427</v>
      </c>
      <c r="Y10" s="19"/>
      <c r="Z10" s="19" t="s">
        <v>256</v>
      </c>
      <c r="AA10" s="19" t="s">
        <v>256</v>
      </c>
      <c r="AB10" s="19" t="s">
        <v>256</v>
      </c>
      <c r="AC10" s="35" t="n">
        <v>46309</v>
      </c>
    </row>
    <row r="11" customFormat="false" ht="15" hidden="false" customHeight="false" outlineLevel="0" collapsed="false">
      <c r="A11" s="10" t="str">
        <f aca="false">IF(C11="","",IFERROR(VLOOKUP(C11,Lists!$Y$4:$Z$20,2,0),"??")&amp;"-"&amp;UPPER(SUBSTITUTE(D11," ",""))&amp;IF(E11&lt;&gt;"","-SP"&amp;TEXT(E11*1000,"0"),"")&amp;IF(F11&lt;&gt;"","-H"&amp;TEXT(F11*1000,"0"),"")&amp;"-"&amp;M11)</f>
        <v/>
      </c>
      <c r="B11" s="10" t="str">
        <f aca="false">IF(C11="","",C11&amp;" - "&amp;D11&amp;IF(E11&lt;&gt;"",", span "&amp;E11&amp;" m","")&amp;IF(F11&lt;&gt;"",", H "&amp;F11&amp;" m","")&amp;IF(G11&lt;&gt;"",", W "&amp;G11&amp;" m",""))</f>
        <v/>
      </c>
      <c r="C11" s="9"/>
      <c r="D11" s="9"/>
      <c r="E11" s="38"/>
      <c r="F11" s="38"/>
      <c r="G11" s="3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37"/>
      <c r="U11" s="38"/>
      <c r="V11" s="39"/>
      <c r="W11" s="39"/>
      <c r="X11" s="9"/>
      <c r="Y11" s="9"/>
      <c r="Z11" s="9"/>
      <c r="AA11" s="9"/>
      <c r="AB11" s="9"/>
      <c r="AC11" s="40"/>
    </row>
    <row r="12" customFormat="false" ht="15" hidden="false" customHeight="false" outlineLevel="0" collapsed="false">
      <c r="A12" s="10" t="str">
        <f aca="false">IF(C12="","",IFERROR(VLOOKUP(C12,Lists!$Y$4:$Z$20,2,0),"??")&amp;"-"&amp;UPPER(SUBSTITUTE(D12," ",""))&amp;IF(E12&lt;&gt;"","-SP"&amp;TEXT(E12*1000,"0"),"")&amp;IF(F12&lt;&gt;"","-H"&amp;TEXT(F12*1000,"0"),"")&amp;"-"&amp;M12)</f>
        <v/>
      </c>
      <c r="B12" s="10" t="str">
        <f aca="false">IF(C12="","",C12&amp;" - "&amp;D12&amp;IF(E12&lt;&gt;"",", span "&amp;E12&amp;" m","")&amp;IF(F12&lt;&gt;"",", H "&amp;F12&amp;" m","")&amp;IF(G12&lt;&gt;"",", W "&amp;G12&amp;" m",""))</f>
        <v/>
      </c>
      <c r="C12" s="9"/>
      <c r="D12" s="9"/>
      <c r="E12" s="38"/>
      <c r="F12" s="38"/>
      <c r="G12" s="3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37"/>
      <c r="U12" s="38"/>
      <c r="V12" s="39"/>
      <c r="W12" s="39"/>
      <c r="X12" s="9"/>
      <c r="Y12" s="9"/>
      <c r="Z12" s="9"/>
      <c r="AA12" s="9"/>
      <c r="AB12" s="9"/>
      <c r="AC12" s="40"/>
    </row>
    <row r="13" customFormat="false" ht="15" hidden="false" customHeight="false" outlineLevel="0" collapsed="false">
      <c r="A13" s="10" t="str">
        <f aca="false">IF(C13="","",IFERROR(VLOOKUP(C13,Lists!$Y$4:$Z$20,2,0),"??")&amp;"-"&amp;UPPER(SUBSTITUTE(D13," ",""))&amp;IF(E13&lt;&gt;"","-SP"&amp;TEXT(E13*1000,"0"),"")&amp;IF(F13&lt;&gt;"","-H"&amp;TEXT(F13*1000,"0"),"")&amp;"-"&amp;M13)</f>
        <v/>
      </c>
      <c r="B13" s="10" t="str">
        <f aca="false">IF(C13="","",C13&amp;" - "&amp;D13&amp;IF(E13&lt;&gt;"",", span "&amp;E13&amp;" m","")&amp;IF(F13&lt;&gt;"",", H "&amp;F13&amp;" m","")&amp;IF(G13&lt;&gt;"",", W "&amp;G13&amp;" m",""))</f>
        <v/>
      </c>
      <c r="C13" s="9"/>
      <c r="D13" s="9"/>
      <c r="E13" s="38"/>
      <c r="F13" s="38"/>
      <c r="G13" s="3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37"/>
      <c r="U13" s="38"/>
      <c r="V13" s="39"/>
      <c r="W13" s="39"/>
      <c r="X13" s="9"/>
      <c r="Y13" s="9"/>
      <c r="Z13" s="9"/>
      <c r="AA13" s="9"/>
      <c r="AB13" s="9"/>
      <c r="AC13" s="40"/>
    </row>
    <row r="14" customFormat="false" ht="15" hidden="false" customHeight="false" outlineLevel="0" collapsed="false">
      <c r="A14" s="10" t="str">
        <f aca="false">IF(C14="","",IFERROR(VLOOKUP(C14,Lists!$Y$4:$Z$20,2,0),"??")&amp;"-"&amp;UPPER(SUBSTITUTE(D14," ",""))&amp;IF(E14&lt;&gt;"","-SP"&amp;TEXT(E14*1000,"0"),"")&amp;IF(F14&lt;&gt;"","-H"&amp;TEXT(F14*1000,"0"),"")&amp;"-"&amp;M14)</f>
        <v/>
      </c>
      <c r="B14" s="10" t="str">
        <f aca="false">IF(C14="","",C14&amp;" - "&amp;D14&amp;IF(E14&lt;&gt;"",", span "&amp;E14&amp;" m","")&amp;IF(F14&lt;&gt;"",", H "&amp;F14&amp;" m","")&amp;IF(G14&lt;&gt;"",", W "&amp;G14&amp;" m",""))</f>
        <v/>
      </c>
      <c r="C14" s="9"/>
      <c r="D14" s="9"/>
      <c r="E14" s="38"/>
      <c r="F14" s="38"/>
      <c r="G14" s="3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37"/>
      <c r="U14" s="38"/>
      <c r="V14" s="39"/>
      <c r="W14" s="39"/>
      <c r="X14" s="9"/>
      <c r="Y14" s="9"/>
      <c r="Z14" s="9"/>
      <c r="AA14" s="9"/>
      <c r="AB14" s="9"/>
      <c r="AC14" s="40"/>
    </row>
    <row r="15" customFormat="false" ht="15" hidden="false" customHeight="false" outlineLevel="0" collapsed="false">
      <c r="A15" s="10" t="str">
        <f aca="false">IF(C15="","",IFERROR(VLOOKUP(C15,Lists!$Y$4:$Z$20,2,0),"??")&amp;"-"&amp;UPPER(SUBSTITUTE(D15," ",""))&amp;IF(E15&lt;&gt;"","-SP"&amp;TEXT(E15*1000,"0"),"")&amp;IF(F15&lt;&gt;"","-H"&amp;TEXT(F15*1000,"0"),"")&amp;"-"&amp;M15)</f>
        <v/>
      </c>
      <c r="B15" s="10" t="str">
        <f aca="false">IF(C15="","",C15&amp;" - "&amp;D15&amp;IF(E15&lt;&gt;"",", span "&amp;E15&amp;" m","")&amp;IF(F15&lt;&gt;"",", H "&amp;F15&amp;" m","")&amp;IF(G15&lt;&gt;"",", W "&amp;G15&amp;" m",""))</f>
        <v/>
      </c>
      <c r="C15" s="9"/>
      <c r="D15" s="9"/>
      <c r="E15" s="38"/>
      <c r="F15" s="38"/>
      <c r="G15" s="3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37"/>
      <c r="U15" s="38"/>
      <c r="V15" s="39"/>
      <c r="W15" s="39"/>
      <c r="X15" s="9"/>
      <c r="Y15" s="9"/>
      <c r="Z15" s="9"/>
      <c r="AA15" s="9"/>
      <c r="AB15" s="9"/>
      <c r="AC15" s="40"/>
    </row>
    <row r="16" customFormat="false" ht="15" hidden="false" customHeight="false" outlineLevel="0" collapsed="false">
      <c r="A16" s="10" t="str">
        <f aca="false">IF(C16="","",IFERROR(VLOOKUP(C16,Lists!$Y$4:$Z$20,2,0),"??")&amp;"-"&amp;UPPER(SUBSTITUTE(D16," ",""))&amp;IF(E16&lt;&gt;"","-SP"&amp;TEXT(E16*1000,"0"),"")&amp;IF(F16&lt;&gt;"","-H"&amp;TEXT(F16*1000,"0"),"")&amp;"-"&amp;M16)</f>
        <v/>
      </c>
      <c r="B16" s="10" t="str">
        <f aca="false">IF(C16="","",C16&amp;" - "&amp;D16&amp;IF(E16&lt;&gt;"",", span "&amp;E16&amp;" m","")&amp;IF(F16&lt;&gt;"",", H "&amp;F16&amp;" m","")&amp;IF(G16&lt;&gt;"",", W "&amp;G16&amp;" m",""))</f>
        <v/>
      </c>
      <c r="C16" s="9"/>
      <c r="D16" s="9"/>
      <c r="E16" s="38"/>
      <c r="F16" s="38"/>
      <c r="G16" s="3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37"/>
      <c r="U16" s="38"/>
      <c r="V16" s="39"/>
      <c r="W16" s="39"/>
      <c r="X16" s="9"/>
      <c r="Y16" s="9"/>
      <c r="Z16" s="9"/>
      <c r="AA16" s="9"/>
      <c r="AB16" s="9"/>
      <c r="AC16" s="40"/>
    </row>
    <row r="17" customFormat="false" ht="15" hidden="false" customHeight="false" outlineLevel="0" collapsed="false">
      <c r="A17" s="10" t="str">
        <f aca="false">IF(C17="","",IFERROR(VLOOKUP(C17,Lists!$Y$4:$Z$20,2,0),"??")&amp;"-"&amp;UPPER(SUBSTITUTE(D17," ",""))&amp;IF(E17&lt;&gt;"","-SP"&amp;TEXT(E17*1000,"0"),"")&amp;IF(F17&lt;&gt;"","-H"&amp;TEXT(F17*1000,"0"),"")&amp;"-"&amp;M17)</f>
        <v/>
      </c>
      <c r="B17" s="10" t="str">
        <f aca="false">IF(C17="","",C17&amp;" - "&amp;D17&amp;IF(E17&lt;&gt;"",", span "&amp;E17&amp;" m","")&amp;IF(F17&lt;&gt;"",", H "&amp;F17&amp;" m","")&amp;IF(G17&lt;&gt;"",", W "&amp;G17&amp;" m",""))</f>
        <v/>
      </c>
      <c r="C17" s="9"/>
      <c r="D17" s="9"/>
      <c r="E17" s="38"/>
      <c r="F17" s="38"/>
      <c r="G17" s="3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37"/>
      <c r="U17" s="38"/>
      <c r="V17" s="39"/>
      <c r="W17" s="39"/>
      <c r="X17" s="9"/>
      <c r="Y17" s="9"/>
      <c r="Z17" s="9"/>
      <c r="AA17" s="9"/>
      <c r="AB17" s="9"/>
      <c r="AC17" s="40"/>
    </row>
    <row r="18" customFormat="false" ht="15" hidden="false" customHeight="false" outlineLevel="0" collapsed="false">
      <c r="A18" s="10" t="str">
        <f aca="false">IF(C18="","",IFERROR(VLOOKUP(C18,Lists!$Y$4:$Z$20,2,0),"??")&amp;"-"&amp;UPPER(SUBSTITUTE(D18," ",""))&amp;IF(E18&lt;&gt;"","-SP"&amp;TEXT(E18*1000,"0"),"")&amp;IF(F18&lt;&gt;"","-H"&amp;TEXT(F18*1000,"0"),"")&amp;"-"&amp;M18)</f>
        <v/>
      </c>
      <c r="B18" s="10" t="str">
        <f aca="false">IF(C18="","",C18&amp;" - "&amp;D18&amp;IF(E18&lt;&gt;"",", span "&amp;E18&amp;" m","")&amp;IF(F18&lt;&gt;"",", H "&amp;F18&amp;" m","")&amp;IF(G18&lt;&gt;"",", W "&amp;G18&amp;" m",""))</f>
        <v/>
      </c>
      <c r="C18" s="9"/>
      <c r="D18" s="9"/>
      <c r="E18" s="38"/>
      <c r="F18" s="38"/>
      <c r="G18" s="3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37"/>
      <c r="U18" s="38"/>
      <c r="V18" s="39"/>
      <c r="W18" s="39"/>
      <c r="X18" s="9"/>
      <c r="Y18" s="9"/>
      <c r="Z18" s="9"/>
      <c r="AA18" s="9"/>
      <c r="AB18" s="9"/>
      <c r="AC18" s="40"/>
    </row>
    <row r="19" customFormat="false" ht="15" hidden="false" customHeight="false" outlineLevel="0" collapsed="false">
      <c r="A19" s="10" t="str">
        <f aca="false">IF(C19="","",IFERROR(VLOOKUP(C19,Lists!$Y$4:$Z$20,2,0),"??")&amp;"-"&amp;UPPER(SUBSTITUTE(D19," ",""))&amp;IF(E19&lt;&gt;"","-SP"&amp;TEXT(E19*1000,"0"),"")&amp;IF(F19&lt;&gt;"","-H"&amp;TEXT(F19*1000,"0"),"")&amp;"-"&amp;M19)</f>
        <v/>
      </c>
      <c r="B19" s="10" t="str">
        <f aca="false">IF(C19="","",C19&amp;" - "&amp;D19&amp;IF(E19&lt;&gt;"",", span "&amp;E19&amp;" m","")&amp;IF(F19&lt;&gt;"",", H "&amp;F19&amp;" m","")&amp;IF(G19&lt;&gt;"",", W "&amp;G19&amp;" m",""))</f>
        <v/>
      </c>
      <c r="C19" s="9"/>
      <c r="D19" s="9"/>
      <c r="E19" s="38"/>
      <c r="F19" s="38"/>
      <c r="G19" s="3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37"/>
      <c r="U19" s="38"/>
      <c r="V19" s="39"/>
      <c r="W19" s="39"/>
      <c r="X19" s="9"/>
      <c r="Y19" s="9"/>
      <c r="Z19" s="9"/>
      <c r="AA19" s="9"/>
      <c r="AB19" s="9"/>
      <c r="AC19" s="40"/>
    </row>
    <row r="20" customFormat="false" ht="15" hidden="false" customHeight="false" outlineLevel="0" collapsed="false">
      <c r="A20" s="10" t="str">
        <f aca="false">IF(C20="","",IFERROR(VLOOKUP(C20,Lists!$Y$4:$Z$20,2,0),"??")&amp;"-"&amp;UPPER(SUBSTITUTE(D20," ",""))&amp;IF(E20&lt;&gt;"","-SP"&amp;TEXT(E20*1000,"0"),"")&amp;IF(F20&lt;&gt;"","-H"&amp;TEXT(F20*1000,"0"),"")&amp;"-"&amp;M20)</f>
        <v/>
      </c>
      <c r="B20" s="10" t="str">
        <f aca="false">IF(C20="","",C20&amp;" - "&amp;D20&amp;IF(E20&lt;&gt;"",", span "&amp;E20&amp;" m","")&amp;IF(F20&lt;&gt;"",", H "&amp;F20&amp;" m","")&amp;IF(G20&lt;&gt;"",", W "&amp;G20&amp;" m",""))</f>
        <v/>
      </c>
      <c r="C20" s="9"/>
      <c r="D20" s="9"/>
      <c r="E20" s="38"/>
      <c r="F20" s="38"/>
      <c r="G20" s="3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37"/>
      <c r="U20" s="38"/>
      <c r="V20" s="39"/>
      <c r="W20" s="39"/>
      <c r="X20" s="9"/>
      <c r="Y20" s="9"/>
      <c r="Z20" s="9"/>
      <c r="AA20" s="9"/>
      <c r="AB20" s="9"/>
      <c r="AC20" s="40"/>
    </row>
    <row r="21" customFormat="false" ht="15" hidden="false" customHeight="false" outlineLevel="0" collapsed="false">
      <c r="A21" s="10" t="str">
        <f aca="false">IF(C21="","",IFERROR(VLOOKUP(C21,Lists!$Y$4:$Z$20,2,0),"??")&amp;"-"&amp;UPPER(SUBSTITUTE(D21," ",""))&amp;IF(E21&lt;&gt;"","-SP"&amp;TEXT(E21*1000,"0"),"")&amp;IF(F21&lt;&gt;"","-H"&amp;TEXT(F21*1000,"0"),"")&amp;"-"&amp;M21)</f>
        <v/>
      </c>
      <c r="B21" s="10" t="str">
        <f aca="false">IF(C21="","",C21&amp;" - "&amp;D21&amp;IF(E21&lt;&gt;"",", span "&amp;E21&amp;" m","")&amp;IF(F21&lt;&gt;"",", H "&amp;F21&amp;" m","")&amp;IF(G21&lt;&gt;"",", W "&amp;G21&amp;" m",""))</f>
        <v/>
      </c>
      <c r="C21" s="9"/>
      <c r="D21" s="9"/>
      <c r="E21" s="38"/>
      <c r="F21" s="38"/>
      <c r="G21" s="3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37"/>
      <c r="U21" s="38"/>
      <c r="V21" s="39"/>
      <c r="W21" s="39"/>
      <c r="X21" s="9"/>
      <c r="Y21" s="9"/>
      <c r="Z21" s="9"/>
      <c r="AA21" s="9"/>
      <c r="AB21" s="9"/>
      <c r="AC21" s="40"/>
    </row>
    <row r="22" customFormat="false" ht="15" hidden="false" customHeight="false" outlineLevel="0" collapsed="false">
      <c r="A22" s="10" t="str">
        <f aca="false">IF(C22="","",IFERROR(VLOOKUP(C22,Lists!$Y$4:$Z$20,2,0),"??")&amp;"-"&amp;UPPER(SUBSTITUTE(D22," ",""))&amp;IF(E22&lt;&gt;"","-SP"&amp;TEXT(E22*1000,"0"),"")&amp;IF(F22&lt;&gt;"","-H"&amp;TEXT(F22*1000,"0"),"")&amp;"-"&amp;M22)</f>
        <v/>
      </c>
      <c r="B22" s="10" t="str">
        <f aca="false">IF(C22="","",C22&amp;" - "&amp;D22&amp;IF(E22&lt;&gt;"",", span "&amp;E22&amp;" m","")&amp;IF(F22&lt;&gt;"",", H "&amp;F22&amp;" m","")&amp;IF(G22&lt;&gt;"",", W "&amp;G22&amp;" m",""))</f>
        <v/>
      </c>
      <c r="C22" s="9"/>
      <c r="D22" s="9"/>
      <c r="E22" s="38"/>
      <c r="F22" s="38"/>
      <c r="G22" s="3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37"/>
      <c r="U22" s="38"/>
      <c r="V22" s="39"/>
      <c r="W22" s="39"/>
      <c r="X22" s="9"/>
      <c r="Y22" s="9"/>
      <c r="Z22" s="9"/>
      <c r="AA22" s="9"/>
      <c r="AB22" s="9"/>
      <c r="AC22" s="40"/>
    </row>
    <row r="23" customFormat="false" ht="15" hidden="false" customHeight="false" outlineLevel="0" collapsed="false">
      <c r="A23" s="10" t="str">
        <f aca="false">IF(C23="","",IFERROR(VLOOKUP(C23,Lists!$Y$4:$Z$20,2,0),"??")&amp;"-"&amp;UPPER(SUBSTITUTE(D23," ",""))&amp;IF(E23&lt;&gt;"","-SP"&amp;TEXT(E23*1000,"0"),"")&amp;IF(F23&lt;&gt;"","-H"&amp;TEXT(F23*1000,"0"),"")&amp;"-"&amp;M23)</f>
        <v/>
      </c>
      <c r="B23" s="10" t="str">
        <f aca="false">IF(C23="","",C23&amp;" - "&amp;D23&amp;IF(E23&lt;&gt;"",", span "&amp;E23&amp;" m","")&amp;IF(F23&lt;&gt;"",", H "&amp;F23&amp;" m","")&amp;IF(G23&lt;&gt;"",", W "&amp;G23&amp;" m",""))</f>
        <v/>
      </c>
      <c r="C23" s="9"/>
      <c r="D23" s="9"/>
      <c r="E23" s="38"/>
      <c r="F23" s="38"/>
      <c r="G23" s="3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37"/>
      <c r="U23" s="38"/>
      <c r="V23" s="39"/>
      <c r="W23" s="39"/>
      <c r="X23" s="9"/>
      <c r="Y23" s="9"/>
      <c r="Z23" s="9"/>
      <c r="AA23" s="9"/>
      <c r="AB23" s="9"/>
      <c r="AC23" s="40"/>
    </row>
    <row r="24" customFormat="false" ht="15" hidden="false" customHeight="false" outlineLevel="0" collapsed="false">
      <c r="A24" s="10" t="str">
        <f aca="false">IF(C24="","",IFERROR(VLOOKUP(C24,Lists!$Y$4:$Z$20,2,0),"??")&amp;"-"&amp;UPPER(SUBSTITUTE(D24," ",""))&amp;IF(E24&lt;&gt;"","-SP"&amp;TEXT(E24*1000,"0"),"")&amp;IF(F24&lt;&gt;"","-H"&amp;TEXT(F24*1000,"0"),"")&amp;"-"&amp;M24)</f>
        <v/>
      </c>
      <c r="B24" s="10" t="str">
        <f aca="false">IF(C24="","",C24&amp;" - "&amp;D24&amp;IF(E24&lt;&gt;"",", span "&amp;E24&amp;" m","")&amp;IF(F24&lt;&gt;"",", H "&amp;F24&amp;" m","")&amp;IF(G24&lt;&gt;"",", W "&amp;G24&amp;" m",""))</f>
        <v/>
      </c>
      <c r="C24" s="9"/>
      <c r="D24" s="9"/>
      <c r="E24" s="38"/>
      <c r="F24" s="38"/>
      <c r="G24" s="3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37"/>
      <c r="U24" s="38"/>
      <c r="V24" s="39"/>
      <c r="W24" s="39"/>
      <c r="X24" s="9"/>
      <c r="Y24" s="9"/>
      <c r="Z24" s="9"/>
      <c r="AA24" s="9"/>
      <c r="AB24" s="9"/>
      <c r="AC24" s="40"/>
    </row>
    <row r="25" customFormat="false" ht="15" hidden="false" customHeight="false" outlineLevel="0" collapsed="false">
      <c r="A25" s="10" t="str">
        <f aca="false">IF(C25="","",IFERROR(VLOOKUP(C25,Lists!$Y$4:$Z$20,2,0),"??")&amp;"-"&amp;UPPER(SUBSTITUTE(D25," ",""))&amp;IF(E25&lt;&gt;"","-SP"&amp;TEXT(E25*1000,"0"),"")&amp;IF(F25&lt;&gt;"","-H"&amp;TEXT(F25*1000,"0"),"")&amp;"-"&amp;M25)</f>
        <v/>
      </c>
      <c r="B25" s="10" t="str">
        <f aca="false">IF(C25="","",C25&amp;" - "&amp;D25&amp;IF(E25&lt;&gt;"",", span "&amp;E25&amp;" m","")&amp;IF(F25&lt;&gt;"",", H "&amp;F25&amp;" m","")&amp;IF(G25&lt;&gt;"",", W "&amp;G25&amp;" m",""))</f>
        <v/>
      </c>
      <c r="C25" s="9"/>
      <c r="D25" s="9"/>
      <c r="E25" s="38"/>
      <c r="F25" s="38"/>
      <c r="G25" s="3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37"/>
      <c r="U25" s="38"/>
      <c r="V25" s="39"/>
      <c r="W25" s="39"/>
      <c r="X25" s="9"/>
      <c r="Y25" s="9"/>
      <c r="Z25" s="9"/>
      <c r="AA25" s="9"/>
      <c r="AB25" s="9"/>
      <c r="AC25" s="40"/>
    </row>
    <row r="26" customFormat="false" ht="15" hidden="false" customHeight="false" outlineLevel="0" collapsed="false">
      <c r="A26" s="10" t="str">
        <f aca="false">IF(C26="","",IFERROR(VLOOKUP(C26,Lists!$Y$4:$Z$20,2,0),"??")&amp;"-"&amp;UPPER(SUBSTITUTE(D26," ",""))&amp;IF(E26&lt;&gt;"","-SP"&amp;TEXT(E26*1000,"0"),"")&amp;IF(F26&lt;&gt;"","-H"&amp;TEXT(F26*1000,"0"),"")&amp;"-"&amp;M26)</f>
        <v/>
      </c>
      <c r="B26" s="10" t="str">
        <f aca="false">IF(C26="","",C26&amp;" - "&amp;D26&amp;IF(E26&lt;&gt;"",", span "&amp;E26&amp;" m","")&amp;IF(F26&lt;&gt;"",", H "&amp;F26&amp;" m","")&amp;IF(G26&lt;&gt;"",", W "&amp;G26&amp;" m",""))</f>
        <v/>
      </c>
      <c r="C26" s="9"/>
      <c r="D26" s="9"/>
      <c r="E26" s="38"/>
      <c r="F26" s="38"/>
      <c r="G26" s="3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37"/>
      <c r="U26" s="38"/>
      <c r="V26" s="39"/>
      <c r="W26" s="39"/>
      <c r="X26" s="9"/>
      <c r="Y26" s="9"/>
      <c r="Z26" s="9"/>
      <c r="AA26" s="9"/>
      <c r="AB26" s="9"/>
      <c r="AC26" s="40"/>
    </row>
    <row r="27" customFormat="false" ht="15" hidden="false" customHeight="false" outlineLevel="0" collapsed="false">
      <c r="A27" s="10" t="str">
        <f aca="false">IF(C27="","",IFERROR(VLOOKUP(C27,Lists!$Y$4:$Z$20,2,0),"??")&amp;"-"&amp;UPPER(SUBSTITUTE(D27," ",""))&amp;IF(E27&lt;&gt;"","-SP"&amp;TEXT(E27*1000,"0"),"")&amp;IF(F27&lt;&gt;"","-H"&amp;TEXT(F27*1000,"0"),"")&amp;"-"&amp;M27)</f>
        <v/>
      </c>
      <c r="B27" s="10" t="str">
        <f aca="false">IF(C27="","",C27&amp;" - "&amp;D27&amp;IF(E27&lt;&gt;"",", span "&amp;E27&amp;" m","")&amp;IF(F27&lt;&gt;"",", H "&amp;F27&amp;" m","")&amp;IF(G27&lt;&gt;"",", W "&amp;G27&amp;" m",""))</f>
        <v/>
      </c>
      <c r="C27" s="9"/>
      <c r="D27" s="9"/>
      <c r="E27" s="38"/>
      <c r="F27" s="38"/>
      <c r="G27" s="3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37"/>
      <c r="U27" s="38"/>
      <c r="V27" s="39"/>
      <c r="W27" s="39"/>
      <c r="X27" s="9"/>
      <c r="Y27" s="9"/>
      <c r="Z27" s="9"/>
      <c r="AA27" s="9"/>
      <c r="AB27" s="9"/>
      <c r="AC27" s="40"/>
    </row>
    <row r="28" customFormat="false" ht="15" hidden="false" customHeight="false" outlineLevel="0" collapsed="false">
      <c r="A28" s="10" t="str">
        <f aca="false">IF(C28="","",IFERROR(VLOOKUP(C28,Lists!$Y$4:$Z$20,2,0),"??")&amp;"-"&amp;UPPER(SUBSTITUTE(D28," ",""))&amp;IF(E28&lt;&gt;"","-SP"&amp;TEXT(E28*1000,"0"),"")&amp;IF(F28&lt;&gt;"","-H"&amp;TEXT(F28*1000,"0"),"")&amp;"-"&amp;M28)</f>
        <v/>
      </c>
      <c r="B28" s="10" t="str">
        <f aca="false">IF(C28="","",C28&amp;" - "&amp;D28&amp;IF(E28&lt;&gt;"",", span "&amp;E28&amp;" m","")&amp;IF(F28&lt;&gt;"",", H "&amp;F28&amp;" m","")&amp;IF(G28&lt;&gt;"",", W "&amp;G28&amp;" m",""))</f>
        <v/>
      </c>
      <c r="C28" s="9"/>
      <c r="D28" s="9"/>
      <c r="E28" s="38"/>
      <c r="F28" s="38"/>
      <c r="G28" s="3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37"/>
      <c r="U28" s="38"/>
      <c r="V28" s="39"/>
      <c r="W28" s="39"/>
      <c r="X28" s="9"/>
      <c r="Y28" s="9"/>
      <c r="Z28" s="9"/>
      <c r="AA28" s="9"/>
      <c r="AB28" s="9"/>
      <c r="AC28" s="40"/>
    </row>
    <row r="29" customFormat="false" ht="15" hidden="false" customHeight="false" outlineLevel="0" collapsed="false">
      <c r="A29" s="10" t="str">
        <f aca="false">IF(C29="","",IFERROR(VLOOKUP(C29,Lists!$Y$4:$Z$20,2,0),"??")&amp;"-"&amp;UPPER(SUBSTITUTE(D29," ",""))&amp;IF(E29&lt;&gt;"","-SP"&amp;TEXT(E29*1000,"0"),"")&amp;IF(F29&lt;&gt;"","-H"&amp;TEXT(F29*1000,"0"),"")&amp;"-"&amp;M29)</f>
        <v/>
      </c>
      <c r="B29" s="10" t="str">
        <f aca="false">IF(C29="","",C29&amp;" - "&amp;D29&amp;IF(E29&lt;&gt;"",", span "&amp;E29&amp;" m","")&amp;IF(F29&lt;&gt;"",", H "&amp;F29&amp;" m","")&amp;IF(G29&lt;&gt;"",", W "&amp;G29&amp;" m",""))</f>
        <v/>
      </c>
      <c r="C29" s="9"/>
      <c r="D29" s="9"/>
      <c r="E29" s="38"/>
      <c r="F29" s="38"/>
      <c r="G29" s="3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37"/>
      <c r="U29" s="38"/>
      <c r="V29" s="39"/>
      <c r="W29" s="39"/>
      <c r="X29" s="9"/>
      <c r="Y29" s="9"/>
      <c r="Z29" s="9"/>
      <c r="AA29" s="9"/>
      <c r="AB29" s="9"/>
      <c r="AC29" s="40"/>
    </row>
    <row r="30" customFormat="false" ht="15" hidden="false" customHeight="false" outlineLevel="0" collapsed="false">
      <c r="A30" s="10" t="str">
        <f aca="false">IF(C30="","",IFERROR(VLOOKUP(C30,Lists!$Y$4:$Z$20,2,0),"??")&amp;"-"&amp;UPPER(SUBSTITUTE(D30," ",""))&amp;IF(E30&lt;&gt;"","-SP"&amp;TEXT(E30*1000,"0"),"")&amp;IF(F30&lt;&gt;"","-H"&amp;TEXT(F30*1000,"0"),"")&amp;"-"&amp;M30)</f>
        <v/>
      </c>
      <c r="B30" s="10" t="str">
        <f aca="false">IF(C30="","",C30&amp;" - "&amp;D30&amp;IF(E30&lt;&gt;"",", span "&amp;E30&amp;" m","")&amp;IF(F30&lt;&gt;"",", H "&amp;F30&amp;" m","")&amp;IF(G30&lt;&gt;"",", W "&amp;G30&amp;" m",""))</f>
        <v/>
      </c>
      <c r="C30" s="9"/>
      <c r="D30" s="9"/>
      <c r="E30" s="38"/>
      <c r="F30" s="38"/>
      <c r="G30" s="3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37"/>
      <c r="U30" s="38"/>
      <c r="V30" s="39"/>
      <c r="W30" s="39"/>
      <c r="X30" s="9"/>
      <c r="Y30" s="9"/>
      <c r="Z30" s="9"/>
      <c r="AA30" s="9"/>
      <c r="AB30" s="9"/>
      <c r="AC30" s="40"/>
    </row>
    <row r="31" customFormat="false" ht="15" hidden="false" customHeight="false" outlineLevel="0" collapsed="false">
      <c r="A31" s="10" t="str">
        <f aca="false">IF(C31="","",IFERROR(VLOOKUP(C31,Lists!$Y$4:$Z$20,2,0),"??")&amp;"-"&amp;UPPER(SUBSTITUTE(D31," ",""))&amp;IF(E31&lt;&gt;"","-SP"&amp;TEXT(E31*1000,"0"),"")&amp;IF(F31&lt;&gt;"","-H"&amp;TEXT(F31*1000,"0"),"")&amp;"-"&amp;M31)</f>
        <v/>
      </c>
      <c r="B31" s="10" t="str">
        <f aca="false">IF(C31="","",C31&amp;" - "&amp;D31&amp;IF(E31&lt;&gt;"",", span "&amp;E31&amp;" m","")&amp;IF(F31&lt;&gt;"",", H "&amp;F31&amp;" m","")&amp;IF(G31&lt;&gt;"",", W "&amp;G31&amp;" m",""))</f>
        <v/>
      </c>
      <c r="C31" s="9"/>
      <c r="D31" s="9"/>
      <c r="E31" s="38"/>
      <c r="F31" s="38"/>
      <c r="G31" s="3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37"/>
      <c r="U31" s="38"/>
      <c r="V31" s="39"/>
      <c r="W31" s="39"/>
      <c r="X31" s="9"/>
      <c r="Y31" s="9"/>
      <c r="Z31" s="9"/>
      <c r="AA31" s="9"/>
      <c r="AB31" s="9"/>
      <c r="AC31" s="40"/>
    </row>
    <row r="32" customFormat="false" ht="15" hidden="false" customHeight="false" outlineLevel="0" collapsed="false">
      <c r="A32" s="10" t="str">
        <f aca="false">IF(C32="","",IFERROR(VLOOKUP(C32,Lists!$Y$4:$Z$20,2,0),"??")&amp;"-"&amp;UPPER(SUBSTITUTE(D32," ",""))&amp;IF(E32&lt;&gt;"","-SP"&amp;TEXT(E32*1000,"0"),"")&amp;IF(F32&lt;&gt;"","-H"&amp;TEXT(F32*1000,"0"),"")&amp;"-"&amp;M32)</f>
        <v/>
      </c>
      <c r="B32" s="10" t="str">
        <f aca="false">IF(C32="","",C32&amp;" - "&amp;D32&amp;IF(E32&lt;&gt;"",", span "&amp;E32&amp;" m","")&amp;IF(F32&lt;&gt;"",", H "&amp;F32&amp;" m","")&amp;IF(G32&lt;&gt;"",", W "&amp;G32&amp;" m",""))</f>
        <v/>
      </c>
      <c r="C32" s="9"/>
      <c r="D32" s="9"/>
      <c r="E32" s="38"/>
      <c r="F32" s="38"/>
      <c r="G32" s="3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37"/>
      <c r="U32" s="38"/>
      <c r="V32" s="39"/>
      <c r="W32" s="39"/>
      <c r="X32" s="9"/>
      <c r="Y32" s="9"/>
      <c r="Z32" s="9"/>
      <c r="AA32" s="9"/>
      <c r="AB32" s="9"/>
      <c r="AC32" s="40"/>
    </row>
    <row r="33" customFormat="false" ht="15" hidden="false" customHeight="false" outlineLevel="0" collapsed="false">
      <c r="A33" s="10" t="str">
        <f aca="false">IF(C33="","",IFERROR(VLOOKUP(C33,Lists!$Y$4:$Z$20,2,0),"??")&amp;"-"&amp;UPPER(SUBSTITUTE(D33," ",""))&amp;IF(E33&lt;&gt;"","-SP"&amp;TEXT(E33*1000,"0"),"")&amp;IF(F33&lt;&gt;"","-H"&amp;TEXT(F33*1000,"0"),"")&amp;"-"&amp;M33)</f>
        <v/>
      </c>
      <c r="B33" s="10" t="str">
        <f aca="false">IF(C33="","",C33&amp;" - "&amp;D33&amp;IF(E33&lt;&gt;"",", span "&amp;E33&amp;" m","")&amp;IF(F33&lt;&gt;"",", H "&amp;F33&amp;" m","")&amp;IF(G33&lt;&gt;"",", W "&amp;G33&amp;" m",""))</f>
        <v/>
      </c>
      <c r="C33" s="9"/>
      <c r="D33" s="9"/>
      <c r="E33" s="38"/>
      <c r="F33" s="38"/>
      <c r="G33" s="3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37"/>
      <c r="U33" s="38"/>
      <c r="V33" s="39"/>
      <c r="W33" s="39"/>
      <c r="X33" s="9"/>
      <c r="Y33" s="9"/>
      <c r="Z33" s="9"/>
      <c r="AA33" s="9"/>
      <c r="AB33" s="9"/>
      <c r="AC33" s="40"/>
    </row>
    <row r="34" customFormat="false" ht="15" hidden="false" customHeight="false" outlineLevel="0" collapsed="false">
      <c r="A34" s="10" t="str">
        <f aca="false">IF(C34="","",IFERROR(VLOOKUP(C34,Lists!$Y$4:$Z$20,2,0),"??")&amp;"-"&amp;UPPER(SUBSTITUTE(D34," ",""))&amp;IF(E34&lt;&gt;"","-SP"&amp;TEXT(E34*1000,"0"),"")&amp;IF(F34&lt;&gt;"","-H"&amp;TEXT(F34*1000,"0"),"")&amp;"-"&amp;M34)</f>
        <v/>
      </c>
      <c r="B34" s="10" t="str">
        <f aca="false">IF(C34="","",C34&amp;" - "&amp;D34&amp;IF(E34&lt;&gt;"",", span "&amp;E34&amp;" m","")&amp;IF(F34&lt;&gt;"",", H "&amp;F34&amp;" m","")&amp;IF(G34&lt;&gt;"",", W "&amp;G34&amp;" m",""))</f>
        <v/>
      </c>
      <c r="C34" s="9"/>
      <c r="D34" s="9"/>
      <c r="E34" s="38"/>
      <c r="F34" s="38"/>
      <c r="G34" s="3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37"/>
      <c r="U34" s="38"/>
      <c r="V34" s="39"/>
      <c r="W34" s="39"/>
      <c r="X34" s="9"/>
      <c r="Y34" s="9"/>
      <c r="Z34" s="9"/>
      <c r="AA34" s="9"/>
      <c r="AB34" s="9"/>
      <c r="AC34" s="40"/>
    </row>
    <row r="35" customFormat="false" ht="15" hidden="false" customHeight="false" outlineLevel="0" collapsed="false">
      <c r="A35" s="10" t="str">
        <f aca="false">IF(C35="","",IFERROR(VLOOKUP(C35,Lists!$Y$4:$Z$20,2,0),"??")&amp;"-"&amp;UPPER(SUBSTITUTE(D35," ",""))&amp;IF(E35&lt;&gt;"","-SP"&amp;TEXT(E35*1000,"0"),"")&amp;IF(F35&lt;&gt;"","-H"&amp;TEXT(F35*1000,"0"),"")&amp;"-"&amp;M35)</f>
        <v/>
      </c>
      <c r="B35" s="10" t="str">
        <f aca="false">IF(C35="","",C35&amp;" - "&amp;D35&amp;IF(E35&lt;&gt;"",", span "&amp;E35&amp;" m","")&amp;IF(F35&lt;&gt;"",", H "&amp;F35&amp;" m","")&amp;IF(G35&lt;&gt;"",", W "&amp;G35&amp;" m",""))</f>
        <v/>
      </c>
      <c r="C35" s="9"/>
      <c r="D35" s="9"/>
      <c r="E35" s="38"/>
      <c r="F35" s="38"/>
      <c r="G35" s="3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37"/>
      <c r="U35" s="38"/>
      <c r="V35" s="39"/>
      <c r="W35" s="39"/>
      <c r="X35" s="9"/>
      <c r="Y35" s="9"/>
      <c r="Z35" s="9"/>
      <c r="AA35" s="9"/>
      <c r="AB35" s="9"/>
      <c r="AC35" s="40"/>
    </row>
    <row r="36" customFormat="false" ht="15" hidden="false" customHeight="false" outlineLevel="0" collapsed="false">
      <c r="A36" s="10" t="str">
        <f aca="false">IF(C36="","",IFERROR(VLOOKUP(C36,Lists!$Y$4:$Z$20,2,0),"??")&amp;"-"&amp;UPPER(SUBSTITUTE(D36," ",""))&amp;IF(E36&lt;&gt;"","-SP"&amp;TEXT(E36*1000,"0"),"")&amp;IF(F36&lt;&gt;"","-H"&amp;TEXT(F36*1000,"0"),"")&amp;"-"&amp;M36)</f>
        <v/>
      </c>
      <c r="B36" s="10" t="str">
        <f aca="false">IF(C36="","",C36&amp;" - "&amp;D36&amp;IF(E36&lt;&gt;"",", span "&amp;E36&amp;" m","")&amp;IF(F36&lt;&gt;"",", H "&amp;F36&amp;" m","")&amp;IF(G36&lt;&gt;"",", W "&amp;G36&amp;" m",""))</f>
        <v/>
      </c>
      <c r="C36" s="9"/>
      <c r="D36" s="9"/>
      <c r="E36" s="38"/>
      <c r="F36" s="38"/>
      <c r="G36" s="3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37"/>
      <c r="U36" s="38"/>
      <c r="V36" s="39"/>
      <c r="W36" s="39"/>
      <c r="X36" s="9"/>
      <c r="Y36" s="9"/>
      <c r="Z36" s="9"/>
      <c r="AA36" s="9"/>
      <c r="AB36" s="9"/>
      <c r="AC36" s="40"/>
    </row>
    <row r="37" customFormat="false" ht="15" hidden="false" customHeight="false" outlineLevel="0" collapsed="false">
      <c r="A37" s="10" t="str">
        <f aca="false">IF(C37="","",IFERROR(VLOOKUP(C37,Lists!$Y$4:$Z$20,2,0),"??")&amp;"-"&amp;UPPER(SUBSTITUTE(D37," ",""))&amp;IF(E37&lt;&gt;"","-SP"&amp;TEXT(E37*1000,"0"),"")&amp;IF(F37&lt;&gt;"","-H"&amp;TEXT(F37*1000,"0"),"")&amp;"-"&amp;M37)</f>
        <v/>
      </c>
      <c r="B37" s="10" t="str">
        <f aca="false">IF(C37="","",C37&amp;" - "&amp;D37&amp;IF(E37&lt;&gt;"",", span "&amp;E37&amp;" m","")&amp;IF(F37&lt;&gt;"",", H "&amp;F37&amp;" m","")&amp;IF(G37&lt;&gt;"",", W "&amp;G37&amp;" m",""))</f>
        <v/>
      </c>
      <c r="C37" s="9"/>
      <c r="D37" s="9"/>
      <c r="E37" s="38"/>
      <c r="F37" s="38"/>
      <c r="G37" s="3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37"/>
      <c r="U37" s="38"/>
      <c r="V37" s="39"/>
      <c r="W37" s="39"/>
      <c r="X37" s="9"/>
      <c r="Y37" s="9"/>
      <c r="Z37" s="9"/>
      <c r="AA37" s="9"/>
      <c r="AB37" s="9"/>
      <c r="AC37" s="40"/>
    </row>
    <row r="38" customFormat="false" ht="15" hidden="false" customHeight="false" outlineLevel="0" collapsed="false">
      <c r="A38" s="10" t="str">
        <f aca="false">IF(C38="","",IFERROR(VLOOKUP(C38,Lists!$Y$4:$Z$20,2,0),"??")&amp;"-"&amp;UPPER(SUBSTITUTE(D38," ",""))&amp;IF(E38&lt;&gt;"","-SP"&amp;TEXT(E38*1000,"0"),"")&amp;IF(F38&lt;&gt;"","-H"&amp;TEXT(F38*1000,"0"),"")&amp;"-"&amp;M38)</f>
        <v/>
      </c>
      <c r="B38" s="10" t="str">
        <f aca="false">IF(C38="","",C38&amp;" - "&amp;D38&amp;IF(E38&lt;&gt;"",", span "&amp;E38&amp;" m","")&amp;IF(F38&lt;&gt;"",", H "&amp;F38&amp;" m","")&amp;IF(G38&lt;&gt;"",", W "&amp;G38&amp;" m",""))</f>
        <v/>
      </c>
      <c r="C38" s="9"/>
      <c r="D38" s="9"/>
      <c r="E38" s="38"/>
      <c r="F38" s="38"/>
      <c r="G38" s="3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37"/>
      <c r="U38" s="38"/>
      <c r="V38" s="39"/>
      <c r="W38" s="39"/>
      <c r="X38" s="9"/>
      <c r="Y38" s="9"/>
      <c r="Z38" s="9"/>
      <c r="AA38" s="9"/>
      <c r="AB38" s="9"/>
      <c r="AC38" s="40"/>
    </row>
    <row r="39" customFormat="false" ht="15" hidden="false" customHeight="false" outlineLevel="0" collapsed="false">
      <c r="A39" s="10" t="str">
        <f aca="false">IF(C39="","",IFERROR(VLOOKUP(C39,Lists!$Y$4:$Z$20,2,0),"??")&amp;"-"&amp;UPPER(SUBSTITUTE(D39," ",""))&amp;IF(E39&lt;&gt;"","-SP"&amp;TEXT(E39*1000,"0"),"")&amp;IF(F39&lt;&gt;"","-H"&amp;TEXT(F39*1000,"0"),"")&amp;"-"&amp;M39)</f>
        <v/>
      </c>
      <c r="B39" s="10" t="str">
        <f aca="false">IF(C39="","",C39&amp;" - "&amp;D39&amp;IF(E39&lt;&gt;"",", span "&amp;E39&amp;" m","")&amp;IF(F39&lt;&gt;"",", H "&amp;F39&amp;" m","")&amp;IF(G39&lt;&gt;"",", W "&amp;G39&amp;" m",""))</f>
        <v/>
      </c>
      <c r="C39" s="9"/>
      <c r="D39" s="9"/>
      <c r="E39" s="38"/>
      <c r="F39" s="38"/>
      <c r="G39" s="3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37"/>
      <c r="U39" s="38"/>
      <c r="V39" s="39"/>
      <c r="W39" s="39"/>
      <c r="X39" s="9"/>
      <c r="Y39" s="9"/>
      <c r="Z39" s="9"/>
      <c r="AA39" s="9"/>
      <c r="AB39" s="9"/>
      <c r="AC39" s="40"/>
    </row>
    <row r="40" customFormat="false" ht="15" hidden="false" customHeight="false" outlineLevel="0" collapsed="false">
      <c r="A40" s="10" t="str">
        <f aca="false">IF(C40="","",IFERROR(VLOOKUP(C40,Lists!$Y$4:$Z$20,2,0),"??")&amp;"-"&amp;UPPER(SUBSTITUTE(D40," ",""))&amp;IF(E40&lt;&gt;"","-SP"&amp;TEXT(E40*1000,"0"),"")&amp;IF(F40&lt;&gt;"","-H"&amp;TEXT(F40*1000,"0"),"")&amp;"-"&amp;M40)</f>
        <v/>
      </c>
      <c r="B40" s="10" t="str">
        <f aca="false">IF(C40="","",C40&amp;" - "&amp;D40&amp;IF(E40&lt;&gt;"",", span "&amp;E40&amp;" m","")&amp;IF(F40&lt;&gt;"",", H "&amp;F40&amp;" m","")&amp;IF(G40&lt;&gt;"",", W "&amp;G40&amp;" m",""))</f>
        <v/>
      </c>
      <c r="C40" s="9"/>
      <c r="D40" s="9"/>
      <c r="E40" s="38"/>
      <c r="F40" s="38"/>
      <c r="G40" s="3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37"/>
      <c r="U40" s="38"/>
      <c r="V40" s="39"/>
      <c r="W40" s="39"/>
      <c r="X40" s="9"/>
      <c r="Y40" s="9"/>
      <c r="Z40" s="9"/>
      <c r="AA40" s="9"/>
      <c r="AB40" s="9"/>
      <c r="AC40" s="40"/>
    </row>
    <row r="41" customFormat="false" ht="15" hidden="false" customHeight="false" outlineLevel="0" collapsed="false">
      <c r="A41" s="10" t="str">
        <f aca="false">IF(C41="","",IFERROR(VLOOKUP(C41,Lists!$Y$4:$Z$20,2,0),"??")&amp;"-"&amp;UPPER(SUBSTITUTE(D41," ",""))&amp;IF(E41&lt;&gt;"","-SP"&amp;TEXT(E41*1000,"0"),"")&amp;IF(F41&lt;&gt;"","-H"&amp;TEXT(F41*1000,"0"),"")&amp;"-"&amp;M41)</f>
        <v/>
      </c>
      <c r="B41" s="10" t="str">
        <f aca="false">IF(C41="","",C41&amp;" - "&amp;D41&amp;IF(E41&lt;&gt;"",", span "&amp;E41&amp;" m","")&amp;IF(F41&lt;&gt;"",", H "&amp;F41&amp;" m","")&amp;IF(G41&lt;&gt;"",", W "&amp;G41&amp;" m",""))</f>
        <v/>
      </c>
      <c r="C41" s="9"/>
      <c r="D41" s="9"/>
      <c r="E41" s="38"/>
      <c r="F41" s="38"/>
      <c r="G41" s="3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7"/>
      <c r="U41" s="38"/>
      <c r="V41" s="39"/>
      <c r="W41" s="39"/>
      <c r="X41" s="9"/>
      <c r="Y41" s="9"/>
      <c r="Z41" s="9"/>
      <c r="AA41" s="9"/>
      <c r="AB41" s="9"/>
      <c r="AC41" s="40"/>
    </row>
    <row r="42" customFormat="false" ht="15" hidden="false" customHeight="false" outlineLevel="0" collapsed="false">
      <c r="A42" s="10" t="str">
        <f aca="false">IF(C42="","",IFERROR(VLOOKUP(C42,Lists!$Y$4:$Z$20,2,0),"??")&amp;"-"&amp;UPPER(SUBSTITUTE(D42," ",""))&amp;IF(E42&lt;&gt;"","-SP"&amp;TEXT(E42*1000,"0"),"")&amp;IF(F42&lt;&gt;"","-H"&amp;TEXT(F42*1000,"0"),"")&amp;"-"&amp;M42)</f>
        <v/>
      </c>
      <c r="B42" s="10" t="str">
        <f aca="false">IF(C42="","",C42&amp;" - "&amp;D42&amp;IF(E42&lt;&gt;"",", span "&amp;E42&amp;" m","")&amp;IF(F42&lt;&gt;"",", H "&amp;F42&amp;" m","")&amp;IF(G42&lt;&gt;"",", W "&amp;G42&amp;" m",""))</f>
        <v/>
      </c>
      <c r="C42" s="9"/>
      <c r="D42" s="9"/>
      <c r="E42" s="38"/>
      <c r="F42" s="38"/>
      <c r="G42" s="3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37"/>
      <c r="U42" s="38"/>
      <c r="V42" s="39"/>
      <c r="W42" s="39"/>
      <c r="X42" s="9"/>
      <c r="Y42" s="9"/>
      <c r="Z42" s="9"/>
      <c r="AA42" s="9"/>
      <c r="AB42" s="9"/>
      <c r="AC42" s="40"/>
    </row>
    <row r="43" customFormat="false" ht="15" hidden="false" customHeight="false" outlineLevel="0" collapsed="false">
      <c r="A43" s="10" t="str">
        <f aca="false">IF(C43="","",IFERROR(VLOOKUP(C43,Lists!$Y$4:$Z$20,2,0),"??")&amp;"-"&amp;UPPER(SUBSTITUTE(D43," ",""))&amp;IF(E43&lt;&gt;"","-SP"&amp;TEXT(E43*1000,"0"),"")&amp;IF(F43&lt;&gt;"","-H"&amp;TEXT(F43*1000,"0"),"")&amp;"-"&amp;M43)</f>
        <v/>
      </c>
      <c r="B43" s="10" t="str">
        <f aca="false">IF(C43="","",C43&amp;" - "&amp;D43&amp;IF(E43&lt;&gt;"",", span "&amp;E43&amp;" m","")&amp;IF(F43&lt;&gt;"",", H "&amp;F43&amp;" m","")&amp;IF(G43&lt;&gt;"",", W "&amp;G43&amp;" m",""))</f>
        <v/>
      </c>
      <c r="C43" s="9"/>
      <c r="D43" s="9"/>
      <c r="E43" s="38"/>
      <c r="F43" s="38"/>
      <c r="G43" s="3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37"/>
      <c r="U43" s="38"/>
      <c r="V43" s="39"/>
      <c r="W43" s="39"/>
      <c r="X43" s="9"/>
      <c r="Y43" s="9"/>
      <c r="Z43" s="9"/>
      <c r="AA43" s="9"/>
      <c r="AB43" s="9"/>
      <c r="AC43" s="40"/>
    </row>
    <row r="44" customFormat="false" ht="15" hidden="false" customHeight="false" outlineLevel="0" collapsed="false">
      <c r="A44" s="10" t="str">
        <f aca="false">IF(C44="","",IFERROR(VLOOKUP(C44,Lists!$Y$4:$Z$20,2,0),"??")&amp;"-"&amp;UPPER(SUBSTITUTE(D44," ",""))&amp;IF(E44&lt;&gt;"","-SP"&amp;TEXT(E44*1000,"0"),"")&amp;IF(F44&lt;&gt;"","-H"&amp;TEXT(F44*1000,"0"),"")&amp;"-"&amp;M44)</f>
        <v/>
      </c>
      <c r="B44" s="10" t="str">
        <f aca="false">IF(C44="","",C44&amp;" - "&amp;D44&amp;IF(E44&lt;&gt;"",", span "&amp;E44&amp;" m","")&amp;IF(F44&lt;&gt;"",", H "&amp;F44&amp;" m","")&amp;IF(G44&lt;&gt;"",", W "&amp;G44&amp;" m",""))</f>
        <v/>
      </c>
      <c r="C44" s="9"/>
      <c r="D44" s="9"/>
      <c r="E44" s="38"/>
      <c r="F44" s="38"/>
      <c r="G44" s="3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37"/>
      <c r="U44" s="38"/>
      <c r="V44" s="39"/>
      <c r="W44" s="39"/>
      <c r="X44" s="9"/>
      <c r="Y44" s="9"/>
      <c r="Z44" s="9"/>
      <c r="AA44" s="9"/>
      <c r="AB44" s="9"/>
      <c r="AC44" s="40"/>
    </row>
    <row r="45" customFormat="false" ht="15" hidden="false" customHeight="false" outlineLevel="0" collapsed="false">
      <c r="A45" s="10" t="str">
        <f aca="false">IF(C45="","",IFERROR(VLOOKUP(C45,Lists!$Y$4:$Z$20,2,0),"??")&amp;"-"&amp;UPPER(SUBSTITUTE(D45," ",""))&amp;IF(E45&lt;&gt;"","-SP"&amp;TEXT(E45*1000,"0"),"")&amp;IF(F45&lt;&gt;"","-H"&amp;TEXT(F45*1000,"0"),"")&amp;"-"&amp;M45)</f>
        <v/>
      </c>
      <c r="B45" s="10" t="str">
        <f aca="false">IF(C45="","",C45&amp;" - "&amp;D45&amp;IF(E45&lt;&gt;"",", span "&amp;E45&amp;" m","")&amp;IF(F45&lt;&gt;"",", H "&amp;F45&amp;" m","")&amp;IF(G45&lt;&gt;"",", W "&amp;G45&amp;" m",""))</f>
        <v/>
      </c>
      <c r="C45" s="9"/>
      <c r="D45" s="9"/>
      <c r="E45" s="38"/>
      <c r="F45" s="38"/>
      <c r="G45" s="3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37"/>
      <c r="U45" s="38"/>
      <c r="V45" s="39"/>
      <c r="W45" s="39"/>
      <c r="X45" s="9"/>
      <c r="Y45" s="9"/>
      <c r="Z45" s="9"/>
      <c r="AA45" s="9"/>
      <c r="AB45" s="9"/>
      <c r="AC45" s="40"/>
    </row>
    <row r="46" customFormat="false" ht="15" hidden="false" customHeight="false" outlineLevel="0" collapsed="false">
      <c r="A46" s="10" t="str">
        <f aca="false">IF(C46="","",IFERROR(VLOOKUP(C46,Lists!$Y$4:$Z$20,2,0),"??")&amp;"-"&amp;UPPER(SUBSTITUTE(D46," ",""))&amp;IF(E46&lt;&gt;"","-SP"&amp;TEXT(E46*1000,"0"),"")&amp;IF(F46&lt;&gt;"","-H"&amp;TEXT(F46*1000,"0"),"")&amp;"-"&amp;M46)</f>
        <v/>
      </c>
      <c r="B46" s="10" t="str">
        <f aca="false">IF(C46="","",C46&amp;" - "&amp;D46&amp;IF(E46&lt;&gt;"",", span "&amp;E46&amp;" m","")&amp;IF(F46&lt;&gt;"",", H "&amp;F46&amp;" m","")&amp;IF(G46&lt;&gt;"",", W "&amp;G46&amp;" m",""))</f>
        <v/>
      </c>
      <c r="C46" s="9"/>
      <c r="D46" s="9"/>
      <c r="E46" s="38"/>
      <c r="F46" s="38"/>
      <c r="G46" s="3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37"/>
      <c r="U46" s="38"/>
      <c r="V46" s="39"/>
      <c r="W46" s="39"/>
      <c r="X46" s="9"/>
      <c r="Y46" s="9"/>
      <c r="Z46" s="9"/>
      <c r="AA46" s="9"/>
      <c r="AB46" s="9"/>
      <c r="AC46" s="40"/>
    </row>
    <row r="47" customFormat="false" ht="15" hidden="false" customHeight="false" outlineLevel="0" collapsed="false">
      <c r="A47" s="10" t="str">
        <f aca="false">IF(C47="","",IFERROR(VLOOKUP(C47,Lists!$Y$4:$Z$20,2,0),"??")&amp;"-"&amp;UPPER(SUBSTITUTE(D47," ",""))&amp;IF(E47&lt;&gt;"","-SP"&amp;TEXT(E47*1000,"0"),"")&amp;IF(F47&lt;&gt;"","-H"&amp;TEXT(F47*1000,"0"),"")&amp;"-"&amp;M47)</f>
        <v/>
      </c>
      <c r="B47" s="10" t="str">
        <f aca="false">IF(C47="","",C47&amp;" - "&amp;D47&amp;IF(E47&lt;&gt;"",", span "&amp;E47&amp;" m","")&amp;IF(F47&lt;&gt;"",", H "&amp;F47&amp;" m","")&amp;IF(G47&lt;&gt;"",", W "&amp;G47&amp;" m",""))</f>
        <v/>
      </c>
      <c r="C47" s="9"/>
      <c r="D47" s="9"/>
      <c r="E47" s="38"/>
      <c r="F47" s="38"/>
      <c r="G47" s="3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37"/>
      <c r="U47" s="38"/>
      <c r="V47" s="39"/>
      <c r="W47" s="39"/>
      <c r="X47" s="9"/>
      <c r="Y47" s="9"/>
      <c r="Z47" s="9"/>
      <c r="AA47" s="9"/>
      <c r="AB47" s="9"/>
      <c r="AC47" s="40"/>
    </row>
    <row r="48" customFormat="false" ht="15" hidden="false" customHeight="false" outlineLevel="0" collapsed="false">
      <c r="A48" s="10" t="str">
        <f aca="false">IF(C48="","",IFERROR(VLOOKUP(C48,Lists!$Y$4:$Z$20,2,0),"??")&amp;"-"&amp;UPPER(SUBSTITUTE(D48," ",""))&amp;IF(E48&lt;&gt;"","-SP"&amp;TEXT(E48*1000,"0"),"")&amp;IF(F48&lt;&gt;"","-H"&amp;TEXT(F48*1000,"0"),"")&amp;"-"&amp;M48)</f>
        <v/>
      </c>
      <c r="B48" s="10" t="str">
        <f aca="false">IF(C48="","",C48&amp;" - "&amp;D48&amp;IF(E48&lt;&gt;"",", span "&amp;E48&amp;" m","")&amp;IF(F48&lt;&gt;"",", H "&amp;F48&amp;" m","")&amp;IF(G48&lt;&gt;"",", W "&amp;G48&amp;" m",""))</f>
        <v/>
      </c>
      <c r="C48" s="9"/>
      <c r="D48" s="9"/>
      <c r="E48" s="38"/>
      <c r="F48" s="38"/>
      <c r="G48" s="3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37"/>
      <c r="U48" s="38"/>
      <c r="V48" s="39"/>
      <c r="W48" s="39"/>
      <c r="X48" s="9"/>
      <c r="Y48" s="9"/>
      <c r="Z48" s="9"/>
      <c r="AA48" s="9"/>
      <c r="AB48" s="9"/>
      <c r="AC48" s="40"/>
    </row>
    <row r="49" customFormat="false" ht="15" hidden="false" customHeight="false" outlineLevel="0" collapsed="false">
      <c r="A49" s="10" t="str">
        <f aca="false">IF(C49="","",IFERROR(VLOOKUP(C49,Lists!$Y$4:$Z$20,2,0),"??")&amp;"-"&amp;UPPER(SUBSTITUTE(D49," ",""))&amp;IF(E49&lt;&gt;"","-SP"&amp;TEXT(E49*1000,"0"),"")&amp;IF(F49&lt;&gt;"","-H"&amp;TEXT(F49*1000,"0"),"")&amp;"-"&amp;M49)</f>
        <v/>
      </c>
      <c r="B49" s="10" t="str">
        <f aca="false">IF(C49="","",C49&amp;" - "&amp;D49&amp;IF(E49&lt;&gt;"",", span "&amp;E49&amp;" m","")&amp;IF(F49&lt;&gt;"",", H "&amp;F49&amp;" m","")&amp;IF(G49&lt;&gt;"",", W "&amp;G49&amp;" m",""))</f>
        <v/>
      </c>
      <c r="C49" s="9"/>
      <c r="D49" s="9"/>
      <c r="E49" s="38"/>
      <c r="F49" s="38"/>
      <c r="G49" s="3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37"/>
      <c r="U49" s="38"/>
      <c r="V49" s="39"/>
      <c r="W49" s="39"/>
      <c r="X49" s="9"/>
      <c r="Y49" s="9"/>
      <c r="Z49" s="9"/>
      <c r="AA49" s="9"/>
      <c r="AB49" s="9"/>
      <c r="AC49" s="40"/>
    </row>
    <row r="50" customFormat="false" ht="15" hidden="false" customHeight="false" outlineLevel="0" collapsed="false">
      <c r="A50" s="10" t="str">
        <f aca="false">IF(C50="","",IFERROR(VLOOKUP(C50,Lists!$Y$4:$Z$20,2,0),"??")&amp;"-"&amp;UPPER(SUBSTITUTE(D50," ",""))&amp;IF(E50&lt;&gt;"","-SP"&amp;TEXT(E50*1000,"0"),"")&amp;IF(F50&lt;&gt;"","-H"&amp;TEXT(F50*1000,"0"),"")&amp;"-"&amp;M50)</f>
        <v/>
      </c>
      <c r="B50" s="10" t="str">
        <f aca="false">IF(C50="","",C50&amp;" - "&amp;D50&amp;IF(E50&lt;&gt;"",", span "&amp;E50&amp;" m","")&amp;IF(F50&lt;&gt;"",", H "&amp;F50&amp;" m","")&amp;IF(G50&lt;&gt;"",", W "&amp;G50&amp;" m",""))</f>
        <v/>
      </c>
      <c r="C50" s="9"/>
      <c r="D50" s="9"/>
      <c r="E50" s="38"/>
      <c r="F50" s="38"/>
      <c r="G50" s="3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37"/>
      <c r="U50" s="38"/>
      <c r="V50" s="39"/>
      <c r="W50" s="39"/>
      <c r="X50" s="9"/>
      <c r="Y50" s="9"/>
      <c r="Z50" s="9"/>
      <c r="AA50" s="9"/>
      <c r="AB50" s="9"/>
      <c r="AC50" s="40"/>
    </row>
    <row r="51" customFormat="false" ht="15" hidden="false" customHeight="false" outlineLevel="0" collapsed="false">
      <c r="A51" s="10" t="str">
        <f aca="false">IF(C51="","",IFERROR(VLOOKUP(C51,Lists!$Y$4:$Z$20,2,0),"??")&amp;"-"&amp;UPPER(SUBSTITUTE(D51," ",""))&amp;IF(E51&lt;&gt;"","-SP"&amp;TEXT(E51*1000,"0"),"")&amp;IF(F51&lt;&gt;"","-H"&amp;TEXT(F51*1000,"0"),"")&amp;"-"&amp;M51)</f>
        <v/>
      </c>
      <c r="B51" s="10" t="str">
        <f aca="false">IF(C51="","",C51&amp;" - "&amp;D51&amp;IF(E51&lt;&gt;"",", span "&amp;E51&amp;" m","")&amp;IF(F51&lt;&gt;"",", H "&amp;F51&amp;" m","")&amp;IF(G51&lt;&gt;"",", W "&amp;G51&amp;" m",""))</f>
        <v/>
      </c>
      <c r="C51" s="9"/>
      <c r="D51" s="9"/>
      <c r="E51" s="38"/>
      <c r="F51" s="38"/>
      <c r="G51" s="3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37"/>
      <c r="U51" s="38"/>
      <c r="V51" s="39"/>
      <c r="W51" s="39"/>
      <c r="X51" s="9"/>
      <c r="Y51" s="9"/>
      <c r="Z51" s="9"/>
      <c r="AA51" s="9"/>
      <c r="AB51" s="9"/>
      <c r="AC51" s="40"/>
    </row>
    <row r="52" customFormat="false" ht="15" hidden="false" customHeight="false" outlineLevel="0" collapsed="false">
      <c r="A52" s="10" t="str">
        <f aca="false">IF(C52="","",IFERROR(VLOOKUP(C52,Lists!$Y$4:$Z$20,2,0),"??")&amp;"-"&amp;UPPER(SUBSTITUTE(D52," ",""))&amp;IF(E52&lt;&gt;"","-SP"&amp;TEXT(E52*1000,"0"),"")&amp;IF(F52&lt;&gt;"","-H"&amp;TEXT(F52*1000,"0"),"")&amp;"-"&amp;M52)</f>
        <v/>
      </c>
      <c r="B52" s="10" t="str">
        <f aca="false">IF(C52="","",C52&amp;" - "&amp;D52&amp;IF(E52&lt;&gt;"",", span "&amp;E52&amp;" m","")&amp;IF(F52&lt;&gt;"",", H "&amp;F52&amp;" m","")&amp;IF(G52&lt;&gt;"",", W "&amp;G52&amp;" m",""))</f>
        <v/>
      </c>
      <c r="C52" s="9"/>
      <c r="D52" s="9"/>
      <c r="E52" s="38"/>
      <c r="F52" s="38"/>
      <c r="G52" s="3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37"/>
      <c r="U52" s="38"/>
      <c r="V52" s="39"/>
      <c r="W52" s="39"/>
      <c r="X52" s="9"/>
      <c r="Y52" s="9"/>
      <c r="Z52" s="9"/>
      <c r="AA52" s="9"/>
      <c r="AB52" s="9"/>
      <c r="AC52" s="40"/>
    </row>
    <row r="53" customFormat="false" ht="15" hidden="false" customHeight="false" outlineLevel="0" collapsed="false">
      <c r="A53" s="10" t="str">
        <f aca="false">IF(C53="","",IFERROR(VLOOKUP(C53,Lists!$Y$4:$Z$20,2,0),"??")&amp;"-"&amp;UPPER(SUBSTITUTE(D53," ",""))&amp;IF(E53&lt;&gt;"","-SP"&amp;TEXT(E53*1000,"0"),"")&amp;IF(F53&lt;&gt;"","-H"&amp;TEXT(F53*1000,"0"),"")&amp;"-"&amp;M53)</f>
        <v/>
      </c>
      <c r="B53" s="10" t="str">
        <f aca="false">IF(C53="","",C53&amp;" - "&amp;D53&amp;IF(E53&lt;&gt;"",", span "&amp;E53&amp;" m","")&amp;IF(F53&lt;&gt;"",", H "&amp;F53&amp;" m","")&amp;IF(G53&lt;&gt;"",", W "&amp;G53&amp;" m",""))</f>
        <v/>
      </c>
      <c r="C53" s="9"/>
      <c r="D53" s="9"/>
      <c r="E53" s="38"/>
      <c r="F53" s="38"/>
      <c r="G53" s="3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37"/>
      <c r="U53" s="38"/>
      <c r="V53" s="39"/>
      <c r="W53" s="39"/>
      <c r="X53" s="9"/>
      <c r="Y53" s="9"/>
      <c r="Z53" s="9"/>
      <c r="AA53" s="9"/>
      <c r="AB53" s="9"/>
      <c r="AC53" s="40"/>
    </row>
    <row r="54" customFormat="false" ht="15" hidden="false" customHeight="false" outlineLevel="0" collapsed="false">
      <c r="A54" s="10" t="str">
        <f aca="false">IF(C54="","",IFERROR(VLOOKUP(C54,Lists!$Y$4:$Z$20,2,0),"??")&amp;"-"&amp;UPPER(SUBSTITUTE(D54," ",""))&amp;IF(E54&lt;&gt;"","-SP"&amp;TEXT(E54*1000,"0"),"")&amp;IF(F54&lt;&gt;"","-H"&amp;TEXT(F54*1000,"0"),"")&amp;"-"&amp;M54)</f>
        <v/>
      </c>
      <c r="B54" s="10" t="str">
        <f aca="false">IF(C54="","",C54&amp;" - "&amp;D54&amp;IF(E54&lt;&gt;"",", span "&amp;E54&amp;" m","")&amp;IF(F54&lt;&gt;"",", H "&amp;F54&amp;" m","")&amp;IF(G54&lt;&gt;"",", W "&amp;G54&amp;" m",""))</f>
        <v/>
      </c>
      <c r="C54" s="9"/>
      <c r="D54" s="9"/>
      <c r="E54" s="38"/>
      <c r="F54" s="38"/>
      <c r="G54" s="3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37"/>
      <c r="U54" s="38"/>
      <c r="V54" s="39"/>
      <c r="W54" s="39"/>
      <c r="X54" s="9"/>
      <c r="Y54" s="9"/>
      <c r="Z54" s="9"/>
      <c r="AA54" s="9"/>
      <c r="AB54" s="9"/>
      <c r="AC54" s="40"/>
    </row>
    <row r="55" customFormat="false" ht="15" hidden="false" customHeight="false" outlineLevel="0" collapsed="false">
      <c r="A55" s="10" t="str">
        <f aca="false">IF(C55="","",IFERROR(VLOOKUP(C55,Lists!$Y$4:$Z$20,2,0),"??")&amp;"-"&amp;UPPER(SUBSTITUTE(D55," ",""))&amp;IF(E55&lt;&gt;"","-SP"&amp;TEXT(E55*1000,"0"),"")&amp;IF(F55&lt;&gt;"","-H"&amp;TEXT(F55*1000,"0"),"")&amp;"-"&amp;M55)</f>
        <v/>
      </c>
      <c r="B55" s="10" t="str">
        <f aca="false">IF(C55="","",C55&amp;" - "&amp;D55&amp;IF(E55&lt;&gt;"",", span "&amp;E55&amp;" m","")&amp;IF(F55&lt;&gt;"",", H "&amp;F55&amp;" m","")&amp;IF(G55&lt;&gt;"",", W "&amp;G55&amp;" m",""))</f>
        <v/>
      </c>
      <c r="C55" s="9"/>
      <c r="D55" s="9"/>
      <c r="E55" s="38"/>
      <c r="F55" s="38"/>
      <c r="G55" s="3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37"/>
      <c r="U55" s="38"/>
      <c r="V55" s="39"/>
      <c r="W55" s="39"/>
      <c r="X55" s="9"/>
      <c r="Y55" s="9"/>
      <c r="Z55" s="9"/>
      <c r="AA55" s="9"/>
      <c r="AB55" s="9"/>
      <c r="AC55" s="40"/>
    </row>
    <row r="56" customFormat="false" ht="15" hidden="false" customHeight="false" outlineLevel="0" collapsed="false">
      <c r="A56" s="10" t="str">
        <f aca="false">IF(C56="","",IFERROR(VLOOKUP(C56,Lists!$Y$4:$Z$20,2,0),"??")&amp;"-"&amp;UPPER(SUBSTITUTE(D56," ",""))&amp;IF(E56&lt;&gt;"","-SP"&amp;TEXT(E56*1000,"0"),"")&amp;IF(F56&lt;&gt;"","-H"&amp;TEXT(F56*1000,"0"),"")&amp;"-"&amp;M56)</f>
        <v/>
      </c>
      <c r="B56" s="10" t="str">
        <f aca="false">IF(C56="","",C56&amp;" - "&amp;D56&amp;IF(E56&lt;&gt;"",", span "&amp;E56&amp;" m","")&amp;IF(F56&lt;&gt;"",", H "&amp;F56&amp;" m","")&amp;IF(G56&lt;&gt;"",", W "&amp;G56&amp;" m",""))</f>
        <v/>
      </c>
      <c r="C56" s="9"/>
      <c r="D56" s="9"/>
      <c r="E56" s="38"/>
      <c r="F56" s="38"/>
      <c r="G56" s="3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37"/>
      <c r="U56" s="38"/>
      <c r="V56" s="39"/>
      <c r="W56" s="39"/>
      <c r="X56" s="9"/>
      <c r="Y56" s="9"/>
      <c r="Z56" s="9"/>
      <c r="AA56" s="9"/>
      <c r="AB56" s="9"/>
      <c r="AC56" s="40"/>
    </row>
    <row r="57" customFormat="false" ht="15" hidden="false" customHeight="false" outlineLevel="0" collapsed="false">
      <c r="A57" s="10" t="str">
        <f aca="false">IF(C57="","",IFERROR(VLOOKUP(C57,Lists!$Y$4:$Z$20,2,0),"??")&amp;"-"&amp;UPPER(SUBSTITUTE(D57," ",""))&amp;IF(E57&lt;&gt;"","-SP"&amp;TEXT(E57*1000,"0"),"")&amp;IF(F57&lt;&gt;"","-H"&amp;TEXT(F57*1000,"0"),"")&amp;"-"&amp;M57)</f>
        <v/>
      </c>
      <c r="B57" s="10" t="str">
        <f aca="false">IF(C57="","",C57&amp;" - "&amp;D57&amp;IF(E57&lt;&gt;"",", span "&amp;E57&amp;" m","")&amp;IF(F57&lt;&gt;"",", H "&amp;F57&amp;" m","")&amp;IF(G57&lt;&gt;"",", W "&amp;G57&amp;" m",""))</f>
        <v/>
      </c>
      <c r="C57" s="9"/>
      <c r="D57" s="9"/>
      <c r="E57" s="38"/>
      <c r="F57" s="38"/>
      <c r="G57" s="3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37"/>
      <c r="U57" s="38"/>
      <c r="V57" s="39"/>
      <c r="W57" s="39"/>
      <c r="X57" s="9"/>
      <c r="Y57" s="9"/>
      <c r="Z57" s="9"/>
      <c r="AA57" s="9"/>
      <c r="AB57" s="9"/>
      <c r="AC57" s="40"/>
    </row>
    <row r="58" customFormat="false" ht="15" hidden="false" customHeight="false" outlineLevel="0" collapsed="false">
      <c r="A58" s="10" t="str">
        <f aca="false">IF(C58="","",IFERROR(VLOOKUP(C58,Lists!$Y$4:$Z$20,2,0),"??")&amp;"-"&amp;UPPER(SUBSTITUTE(D58," ",""))&amp;IF(E58&lt;&gt;"","-SP"&amp;TEXT(E58*1000,"0"),"")&amp;IF(F58&lt;&gt;"","-H"&amp;TEXT(F58*1000,"0"),"")&amp;"-"&amp;M58)</f>
        <v/>
      </c>
      <c r="B58" s="10" t="str">
        <f aca="false">IF(C58="","",C58&amp;" - "&amp;D58&amp;IF(E58&lt;&gt;"",", span "&amp;E58&amp;" m","")&amp;IF(F58&lt;&gt;"",", H "&amp;F58&amp;" m","")&amp;IF(G58&lt;&gt;"",", W "&amp;G58&amp;" m",""))</f>
        <v/>
      </c>
      <c r="C58" s="9"/>
      <c r="D58" s="9"/>
      <c r="E58" s="38"/>
      <c r="F58" s="38"/>
      <c r="G58" s="3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37"/>
      <c r="U58" s="38"/>
      <c r="V58" s="39"/>
      <c r="W58" s="39"/>
      <c r="X58" s="9"/>
      <c r="Y58" s="9"/>
      <c r="Z58" s="9"/>
      <c r="AA58" s="9"/>
      <c r="AB58" s="9"/>
      <c r="AC58" s="40"/>
    </row>
    <row r="59" customFormat="false" ht="15" hidden="false" customHeight="false" outlineLevel="0" collapsed="false">
      <c r="A59" s="10" t="str">
        <f aca="false">IF(C59="","",IFERROR(VLOOKUP(C59,Lists!$Y$4:$Z$20,2,0),"??")&amp;"-"&amp;UPPER(SUBSTITUTE(D59," ",""))&amp;IF(E59&lt;&gt;"","-SP"&amp;TEXT(E59*1000,"0"),"")&amp;IF(F59&lt;&gt;"","-H"&amp;TEXT(F59*1000,"0"),"")&amp;"-"&amp;M59)</f>
        <v/>
      </c>
      <c r="B59" s="10" t="str">
        <f aca="false">IF(C59="","",C59&amp;" - "&amp;D59&amp;IF(E59&lt;&gt;"",", span "&amp;E59&amp;" m","")&amp;IF(F59&lt;&gt;"",", H "&amp;F59&amp;" m","")&amp;IF(G59&lt;&gt;"",", W "&amp;G59&amp;" m",""))</f>
        <v/>
      </c>
      <c r="C59" s="9"/>
      <c r="D59" s="9"/>
      <c r="E59" s="38"/>
      <c r="F59" s="38"/>
      <c r="G59" s="3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37"/>
      <c r="U59" s="38"/>
      <c r="V59" s="39"/>
      <c r="W59" s="39"/>
      <c r="X59" s="9"/>
      <c r="Y59" s="9"/>
      <c r="Z59" s="9"/>
      <c r="AA59" s="9"/>
      <c r="AB59" s="9"/>
      <c r="AC59" s="40"/>
    </row>
    <row r="60" customFormat="false" ht="15" hidden="false" customHeight="false" outlineLevel="0" collapsed="false">
      <c r="A60" s="10" t="str">
        <f aca="false">IF(C60="","",IFERROR(VLOOKUP(C60,Lists!$Y$4:$Z$20,2,0),"??")&amp;"-"&amp;UPPER(SUBSTITUTE(D60," ",""))&amp;IF(E60&lt;&gt;"","-SP"&amp;TEXT(E60*1000,"0"),"")&amp;IF(F60&lt;&gt;"","-H"&amp;TEXT(F60*1000,"0"),"")&amp;"-"&amp;M60)</f>
        <v/>
      </c>
      <c r="B60" s="10" t="str">
        <f aca="false">IF(C60="","",C60&amp;" - "&amp;D60&amp;IF(E60&lt;&gt;"",", span "&amp;E60&amp;" m","")&amp;IF(F60&lt;&gt;"",", H "&amp;F60&amp;" m","")&amp;IF(G60&lt;&gt;"",", W "&amp;G60&amp;" m",""))</f>
        <v/>
      </c>
      <c r="C60" s="9"/>
      <c r="D60" s="9"/>
      <c r="E60" s="38"/>
      <c r="F60" s="38"/>
      <c r="G60" s="3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37"/>
      <c r="U60" s="38"/>
      <c r="V60" s="39"/>
      <c r="W60" s="39"/>
      <c r="X60" s="9"/>
      <c r="Y60" s="9"/>
      <c r="Z60" s="9"/>
      <c r="AA60" s="9"/>
      <c r="AB60" s="9"/>
      <c r="AC60" s="40"/>
    </row>
    <row r="61" customFormat="false" ht="15" hidden="false" customHeight="false" outlineLevel="0" collapsed="false">
      <c r="A61" s="10" t="str">
        <f aca="false">IF(C61="","",IFERROR(VLOOKUP(C61,Lists!$Y$4:$Z$20,2,0),"??")&amp;"-"&amp;UPPER(SUBSTITUTE(D61," ",""))&amp;IF(E61&lt;&gt;"","-SP"&amp;TEXT(E61*1000,"0"),"")&amp;IF(F61&lt;&gt;"","-H"&amp;TEXT(F61*1000,"0"),"")&amp;"-"&amp;M61)</f>
        <v/>
      </c>
      <c r="B61" s="10" t="str">
        <f aca="false">IF(C61="","",C61&amp;" - "&amp;D61&amp;IF(E61&lt;&gt;"",", span "&amp;E61&amp;" m","")&amp;IF(F61&lt;&gt;"",", H "&amp;F61&amp;" m","")&amp;IF(G61&lt;&gt;"",", W "&amp;G61&amp;" m",""))</f>
        <v/>
      </c>
      <c r="C61" s="9"/>
      <c r="D61" s="9"/>
      <c r="E61" s="38"/>
      <c r="F61" s="38"/>
      <c r="G61" s="3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37"/>
      <c r="U61" s="38"/>
      <c r="V61" s="39"/>
      <c r="W61" s="39"/>
      <c r="X61" s="9"/>
      <c r="Y61" s="9"/>
      <c r="Z61" s="9"/>
      <c r="AA61" s="9"/>
      <c r="AB61" s="9"/>
      <c r="AC61" s="40"/>
    </row>
    <row r="62" customFormat="false" ht="15" hidden="false" customHeight="false" outlineLevel="0" collapsed="false">
      <c r="A62" s="10" t="str">
        <f aca="false">IF(C62="","",IFERROR(VLOOKUP(C62,Lists!$Y$4:$Z$20,2,0),"??")&amp;"-"&amp;UPPER(SUBSTITUTE(D62," ",""))&amp;IF(E62&lt;&gt;"","-SP"&amp;TEXT(E62*1000,"0"),"")&amp;IF(F62&lt;&gt;"","-H"&amp;TEXT(F62*1000,"0"),"")&amp;"-"&amp;M62)</f>
        <v/>
      </c>
      <c r="B62" s="10" t="str">
        <f aca="false">IF(C62="","",C62&amp;" - "&amp;D62&amp;IF(E62&lt;&gt;"",", span "&amp;E62&amp;" m","")&amp;IF(F62&lt;&gt;"",", H "&amp;F62&amp;" m","")&amp;IF(G62&lt;&gt;"",", W "&amp;G62&amp;" m",""))</f>
        <v/>
      </c>
      <c r="C62" s="9"/>
      <c r="D62" s="9"/>
      <c r="E62" s="38"/>
      <c r="F62" s="38"/>
      <c r="G62" s="3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37"/>
      <c r="U62" s="38"/>
      <c r="V62" s="39"/>
      <c r="W62" s="39"/>
      <c r="X62" s="9"/>
      <c r="Y62" s="9"/>
      <c r="Z62" s="9"/>
      <c r="AA62" s="9"/>
      <c r="AB62" s="9"/>
      <c r="AC62" s="40"/>
    </row>
    <row r="63" customFormat="false" ht="15" hidden="false" customHeight="false" outlineLevel="0" collapsed="false">
      <c r="A63" s="10" t="str">
        <f aca="false">IF(C63="","",IFERROR(VLOOKUP(C63,Lists!$Y$4:$Z$20,2,0),"??")&amp;"-"&amp;UPPER(SUBSTITUTE(D63," ",""))&amp;IF(E63&lt;&gt;"","-SP"&amp;TEXT(E63*1000,"0"),"")&amp;IF(F63&lt;&gt;"","-H"&amp;TEXT(F63*1000,"0"),"")&amp;"-"&amp;M63)</f>
        <v/>
      </c>
      <c r="B63" s="10" t="str">
        <f aca="false">IF(C63="","",C63&amp;" - "&amp;D63&amp;IF(E63&lt;&gt;"",", span "&amp;E63&amp;" m","")&amp;IF(F63&lt;&gt;"",", H "&amp;F63&amp;" m","")&amp;IF(G63&lt;&gt;"",", W "&amp;G63&amp;" m",""))</f>
        <v/>
      </c>
      <c r="C63" s="9"/>
      <c r="D63" s="9"/>
      <c r="E63" s="38"/>
      <c r="F63" s="38"/>
      <c r="G63" s="3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37"/>
      <c r="U63" s="38"/>
      <c r="V63" s="39"/>
      <c r="W63" s="39"/>
      <c r="X63" s="9"/>
      <c r="Y63" s="9"/>
      <c r="Z63" s="9"/>
      <c r="AA63" s="9"/>
      <c r="AB63" s="9"/>
      <c r="AC63" s="40"/>
    </row>
    <row r="64" customFormat="false" ht="15" hidden="false" customHeight="false" outlineLevel="0" collapsed="false">
      <c r="A64" s="10" t="str">
        <f aca="false">IF(C64="","",IFERROR(VLOOKUP(C64,Lists!$Y$4:$Z$20,2,0),"??")&amp;"-"&amp;UPPER(SUBSTITUTE(D64," ",""))&amp;IF(E64&lt;&gt;"","-SP"&amp;TEXT(E64*1000,"0"),"")&amp;IF(F64&lt;&gt;"","-H"&amp;TEXT(F64*1000,"0"),"")&amp;"-"&amp;M64)</f>
        <v/>
      </c>
      <c r="B64" s="10" t="str">
        <f aca="false">IF(C64="","",C64&amp;" - "&amp;D64&amp;IF(E64&lt;&gt;"",", span "&amp;E64&amp;" m","")&amp;IF(F64&lt;&gt;"",", H "&amp;F64&amp;" m","")&amp;IF(G64&lt;&gt;"",", W "&amp;G64&amp;" m",""))</f>
        <v/>
      </c>
      <c r="C64" s="9"/>
      <c r="D64" s="9"/>
      <c r="E64" s="38"/>
      <c r="F64" s="38"/>
      <c r="G64" s="3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37"/>
      <c r="U64" s="38"/>
      <c r="V64" s="39"/>
      <c r="W64" s="39"/>
      <c r="X64" s="9"/>
      <c r="Y64" s="9"/>
      <c r="Z64" s="9"/>
      <c r="AA64" s="9"/>
      <c r="AB64" s="9"/>
      <c r="AC64" s="40"/>
    </row>
    <row r="65" customFormat="false" ht="15" hidden="false" customHeight="false" outlineLevel="0" collapsed="false">
      <c r="A65" s="10" t="str">
        <f aca="false">IF(C65="","",IFERROR(VLOOKUP(C65,Lists!$Y$4:$Z$20,2,0),"??")&amp;"-"&amp;UPPER(SUBSTITUTE(D65," ",""))&amp;IF(E65&lt;&gt;"","-SP"&amp;TEXT(E65*1000,"0"),"")&amp;IF(F65&lt;&gt;"","-H"&amp;TEXT(F65*1000,"0"),"")&amp;"-"&amp;M65)</f>
        <v/>
      </c>
      <c r="B65" s="10" t="str">
        <f aca="false">IF(C65="","",C65&amp;" - "&amp;D65&amp;IF(E65&lt;&gt;"",", span "&amp;E65&amp;" m","")&amp;IF(F65&lt;&gt;"",", H "&amp;F65&amp;" m","")&amp;IF(G65&lt;&gt;"",", W "&amp;G65&amp;" m",""))</f>
        <v/>
      </c>
      <c r="C65" s="9"/>
      <c r="D65" s="9"/>
      <c r="E65" s="38"/>
      <c r="F65" s="38"/>
      <c r="G65" s="3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37"/>
      <c r="U65" s="38"/>
      <c r="V65" s="39"/>
      <c r="W65" s="39"/>
      <c r="X65" s="9"/>
      <c r="Y65" s="9"/>
      <c r="Z65" s="9"/>
      <c r="AA65" s="9"/>
      <c r="AB65" s="9"/>
      <c r="AC65" s="40"/>
    </row>
    <row r="66" customFormat="false" ht="15" hidden="false" customHeight="false" outlineLevel="0" collapsed="false">
      <c r="A66" s="10" t="str">
        <f aca="false">IF(C66="","",IFERROR(VLOOKUP(C66,Lists!$Y$4:$Z$20,2,0),"??")&amp;"-"&amp;UPPER(SUBSTITUTE(D66," ",""))&amp;IF(E66&lt;&gt;"","-SP"&amp;TEXT(E66*1000,"0"),"")&amp;IF(F66&lt;&gt;"","-H"&amp;TEXT(F66*1000,"0"),"")&amp;"-"&amp;M66)</f>
        <v/>
      </c>
      <c r="B66" s="10" t="str">
        <f aca="false">IF(C66="","",C66&amp;" - "&amp;D66&amp;IF(E66&lt;&gt;"",", span "&amp;E66&amp;" m","")&amp;IF(F66&lt;&gt;"",", H "&amp;F66&amp;" m","")&amp;IF(G66&lt;&gt;"",", W "&amp;G66&amp;" m",""))</f>
        <v/>
      </c>
      <c r="C66" s="9"/>
      <c r="D66" s="9"/>
      <c r="E66" s="38"/>
      <c r="F66" s="38"/>
      <c r="G66" s="3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37"/>
      <c r="U66" s="38"/>
      <c r="V66" s="39"/>
      <c r="W66" s="39"/>
      <c r="X66" s="9"/>
      <c r="Y66" s="9"/>
      <c r="Z66" s="9"/>
      <c r="AA66" s="9"/>
      <c r="AB66" s="9"/>
      <c r="AC66" s="40"/>
    </row>
    <row r="67" customFormat="false" ht="15" hidden="false" customHeight="false" outlineLevel="0" collapsed="false">
      <c r="A67" s="10" t="str">
        <f aca="false">IF(C67="","",IFERROR(VLOOKUP(C67,Lists!$Y$4:$Z$20,2,0),"??")&amp;"-"&amp;UPPER(SUBSTITUTE(D67," ",""))&amp;IF(E67&lt;&gt;"","-SP"&amp;TEXT(E67*1000,"0"),"")&amp;IF(F67&lt;&gt;"","-H"&amp;TEXT(F67*1000,"0"),"")&amp;"-"&amp;M67)</f>
        <v/>
      </c>
      <c r="B67" s="10" t="str">
        <f aca="false">IF(C67="","",C67&amp;" - "&amp;D67&amp;IF(E67&lt;&gt;"",", span "&amp;E67&amp;" m","")&amp;IF(F67&lt;&gt;"",", H "&amp;F67&amp;" m","")&amp;IF(G67&lt;&gt;"",", W "&amp;G67&amp;" m",""))</f>
        <v/>
      </c>
      <c r="C67" s="9"/>
      <c r="D67" s="9"/>
      <c r="E67" s="38"/>
      <c r="F67" s="38"/>
      <c r="G67" s="3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37"/>
      <c r="U67" s="38"/>
      <c r="V67" s="39"/>
      <c r="W67" s="39"/>
      <c r="X67" s="9"/>
      <c r="Y67" s="9"/>
      <c r="Z67" s="9"/>
      <c r="AA67" s="9"/>
      <c r="AB67" s="9"/>
      <c r="AC67" s="40"/>
    </row>
    <row r="68" customFormat="false" ht="15" hidden="false" customHeight="false" outlineLevel="0" collapsed="false">
      <c r="A68" s="10" t="str">
        <f aca="false">IF(C68="","",IFERROR(VLOOKUP(C68,Lists!$Y$4:$Z$20,2,0),"??")&amp;"-"&amp;UPPER(SUBSTITUTE(D68," ",""))&amp;IF(E68&lt;&gt;"","-SP"&amp;TEXT(E68*1000,"0"),"")&amp;IF(F68&lt;&gt;"","-H"&amp;TEXT(F68*1000,"0"),"")&amp;"-"&amp;M68)</f>
        <v/>
      </c>
      <c r="B68" s="10" t="str">
        <f aca="false">IF(C68="","",C68&amp;" - "&amp;D68&amp;IF(E68&lt;&gt;"",", span "&amp;E68&amp;" m","")&amp;IF(F68&lt;&gt;"",", H "&amp;F68&amp;" m","")&amp;IF(G68&lt;&gt;"",", W "&amp;G68&amp;" m",""))</f>
        <v/>
      </c>
      <c r="C68" s="9"/>
      <c r="D68" s="9"/>
      <c r="E68" s="38"/>
      <c r="F68" s="38"/>
      <c r="G68" s="3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37"/>
      <c r="U68" s="38"/>
      <c r="V68" s="39"/>
      <c r="W68" s="39"/>
      <c r="X68" s="9"/>
      <c r="Y68" s="9"/>
      <c r="Z68" s="9"/>
      <c r="AA68" s="9"/>
      <c r="AB68" s="9"/>
      <c r="AC68" s="40"/>
    </row>
    <row r="69" customFormat="false" ht="15" hidden="false" customHeight="false" outlineLevel="0" collapsed="false">
      <c r="A69" s="10" t="str">
        <f aca="false">IF(C69="","",IFERROR(VLOOKUP(C69,Lists!$Y$4:$Z$20,2,0),"??")&amp;"-"&amp;UPPER(SUBSTITUTE(D69," ",""))&amp;IF(E69&lt;&gt;"","-SP"&amp;TEXT(E69*1000,"0"),"")&amp;IF(F69&lt;&gt;"","-H"&amp;TEXT(F69*1000,"0"),"")&amp;"-"&amp;M69)</f>
        <v/>
      </c>
      <c r="B69" s="10" t="str">
        <f aca="false">IF(C69="","",C69&amp;" - "&amp;D69&amp;IF(E69&lt;&gt;"",", span "&amp;E69&amp;" m","")&amp;IF(F69&lt;&gt;"",", H "&amp;F69&amp;" m","")&amp;IF(G69&lt;&gt;"",", W "&amp;G69&amp;" m",""))</f>
        <v/>
      </c>
      <c r="C69" s="9"/>
      <c r="D69" s="9"/>
      <c r="E69" s="38"/>
      <c r="F69" s="38"/>
      <c r="G69" s="3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37"/>
      <c r="U69" s="38"/>
      <c r="V69" s="39"/>
      <c r="W69" s="39"/>
      <c r="X69" s="9"/>
      <c r="Y69" s="9"/>
      <c r="Z69" s="9"/>
      <c r="AA69" s="9"/>
      <c r="AB69" s="9"/>
      <c r="AC69" s="40"/>
    </row>
    <row r="70" customFormat="false" ht="15" hidden="false" customHeight="false" outlineLevel="0" collapsed="false">
      <c r="A70" s="10" t="str">
        <f aca="false">IF(C70="","",IFERROR(VLOOKUP(C70,Lists!$Y$4:$Z$20,2,0),"??")&amp;"-"&amp;UPPER(SUBSTITUTE(D70," ",""))&amp;IF(E70&lt;&gt;"","-SP"&amp;TEXT(E70*1000,"0"),"")&amp;IF(F70&lt;&gt;"","-H"&amp;TEXT(F70*1000,"0"),"")&amp;"-"&amp;M70)</f>
        <v/>
      </c>
      <c r="B70" s="10" t="str">
        <f aca="false">IF(C70="","",C70&amp;" - "&amp;D70&amp;IF(E70&lt;&gt;"",", span "&amp;E70&amp;" m","")&amp;IF(F70&lt;&gt;"",", H "&amp;F70&amp;" m","")&amp;IF(G70&lt;&gt;"",", W "&amp;G70&amp;" m",""))</f>
        <v/>
      </c>
      <c r="C70" s="9"/>
      <c r="D70" s="9"/>
      <c r="E70" s="38"/>
      <c r="F70" s="38"/>
      <c r="G70" s="3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37"/>
      <c r="U70" s="38"/>
      <c r="V70" s="39"/>
      <c r="W70" s="39"/>
      <c r="X70" s="9"/>
      <c r="Y70" s="9"/>
      <c r="Z70" s="9"/>
      <c r="AA70" s="9"/>
      <c r="AB70" s="9"/>
      <c r="AC70" s="40"/>
    </row>
    <row r="71" customFormat="false" ht="15" hidden="false" customHeight="false" outlineLevel="0" collapsed="false">
      <c r="A71" s="10" t="str">
        <f aca="false">IF(C71="","",IFERROR(VLOOKUP(C71,Lists!$Y$4:$Z$20,2,0),"??")&amp;"-"&amp;UPPER(SUBSTITUTE(D71," ",""))&amp;IF(E71&lt;&gt;"","-SP"&amp;TEXT(E71*1000,"0"),"")&amp;IF(F71&lt;&gt;"","-H"&amp;TEXT(F71*1000,"0"),"")&amp;"-"&amp;M71)</f>
        <v/>
      </c>
      <c r="B71" s="10" t="str">
        <f aca="false">IF(C71="","",C71&amp;" - "&amp;D71&amp;IF(E71&lt;&gt;"",", span "&amp;E71&amp;" m","")&amp;IF(F71&lt;&gt;"",", H "&amp;F71&amp;" m","")&amp;IF(G71&lt;&gt;"",", W "&amp;G71&amp;" m",""))</f>
        <v/>
      </c>
      <c r="C71" s="9"/>
      <c r="D71" s="9"/>
      <c r="E71" s="38"/>
      <c r="F71" s="38"/>
      <c r="G71" s="3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37"/>
      <c r="U71" s="38"/>
      <c r="V71" s="39"/>
      <c r="W71" s="39"/>
      <c r="X71" s="9"/>
      <c r="Y71" s="9"/>
      <c r="Z71" s="9"/>
      <c r="AA71" s="9"/>
      <c r="AB71" s="9"/>
      <c r="AC71" s="40"/>
    </row>
    <row r="72" customFormat="false" ht="15" hidden="false" customHeight="false" outlineLevel="0" collapsed="false">
      <c r="A72" s="10" t="str">
        <f aca="false">IF(C72="","",IFERROR(VLOOKUP(C72,Lists!$Y$4:$Z$20,2,0),"??")&amp;"-"&amp;UPPER(SUBSTITUTE(D72," ",""))&amp;IF(E72&lt;&gt;"","-SP"&amp;TEXT(E72*1000,"0"),"")&amp;IF(F72&lt;&gt;"","-H"&amp;TEXT(F72*1000,"0"),"")&amp;"-"&amp;M72)</f>
        <v/>
      </c>
      <c r="B72" s="10" t="str">
        <f aca="false">IF(C72="","",C72&amp;" - "&amp;D72&amp;IF(E72&lt;&gt;"",", span "&amp;E72&amp;" m","")&amp;IF(F72&lt;&gt;"",", H "&amp;F72&amp;" m","")&amp;IF(G72&lt;&gt;"",", W "&amp;G72&amp;" m",""))</f>
        <v/>
      </c>
      <c r="C72" s="9"/>
      <c r="D72" s="9"/>
      <c r="E72" s="38"/>
      <c r="F72" s="38"/>
      <c r="G72" s="3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37"/>
      <c r="U72" s="38"/>
      <c r="V72" s="39"/>
      <c r="W72" s="39"/>
      <c r="X72" s="9"/>
      <c r="Y72" s="9"/>
      <c r="Z72" s="9"/>
      <c r="AA72" s="9"/>
      <c r="AB72" s="9"/>
      <c r="AC72" s="40"/>
    </row>
    <row r="73" customFormat="false" ht="15" hidden="false" customHeight="false" outlineLevel="0" collapsed="false">
      <c r="A73" s="10" t="str">
        <f aca="false">IF(C73="","",IFERROR(VLOOKUP(C73,Lists!$Y$4:$Z$20,2,0),"??")&amp;"-"&amp;UPPER(SUBSTITUTE(D73," ",""))&amp;IF(E73&lt;&gt;"","-SP"&amp;TEXT(E73*1000,"0"),"")&amp;IF(F73&lt;&gt;"","-H"&amp;TEXT(F73*1000,"0"),"")&amp;"-"&amp;M73)</f>
        <v/>
      </c>
      <c r="B73" s="10" t="str">
        <f aca="false">IF(C73="","",C73&amp;" - "&amp;D73&amp;IF(E73&lt;&gt;"",", span "&amp;E73&amp;" m","")&amp;IF(F73&lt;&gt;"",", H "&amp;F73&amp;" m","")&amp;IF(G73&lt;&gt;"",", W "&amp;G73&amp;" m",""))</f>
        <v/>
      </c>
      <c r="C73" s="9"/>
      <c r="D73" s="9"/>
      <c r="E73" s="38"/>
      <c r="F73" s="38"/>
      <c r="G73" s="3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37"/>
      <c r="U73" s="38"/>
      <c r="V73" s="39"/>
      <c r="W73" s="39"/>
      <c r="X73" s="9"/>
      <c r="Y73" s="9"/>
      <c r="Z73" s="9"/>
      <c r="AA73" s="9"/>
      <c r="AB73" s="9"/>
      <c r="AC73" s="40"/>
    </row>
    <row r="74" customFormat="false" ht="15" hidden="false" customHeight="false" outlineLevel="0" collapsed="false">
      <c r="A74" s="10" t="str">
        <f aca="false">IF(C74="","",IFERROR(VLOOKUP(C74,Lists!$Y$4:$Z$20,2,0),"??")&amp;"-"&amp;UPPER(SUBSTITUTE(D74," ",""))&amp;IF(E74&lt;&gt;"","-SP"&amp;TEXT(E74*1000,"0"),"")&amp;IF(F74&lt;&gt;"","-H"&amp;TEXT(F74*1000,"0"),"")&amp;"-"&amp;M74)</f>
        <v/>
      </c>
      <c r="B74" s="10" t="str">
        <f aca="false">IF(C74="","",C74&amp;" - "&amp;D74&amp;IF(E74&lt;&gt;"",", span "&amp;E74&amp;" m","")&amp;IF(F74&lt;&gt;"",", H "&amp;F74&amp;" m","")&amp;IF(G74&lt;&gt;"",", W "&amp;G74&amp;" m",""))</f>
        <v/>
      </c>
      <c r="C74" s="9"/>
      <c r="D74" s="9"/>
      <c r="E74" s="38"/>
      <c r="F74" s="38"/>
      <c r="G74" s="3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37"/>
      <c r="U74" s="38"/>
      <c r="V74" s="39"/>
      <c r="W74" s="39"/>
      <c r="X74" s="9"/>
      <c r="Y74" s="9"/>
      <c r="Z74" s="9"/>
      <c r="AA74" s="9"/>
      <c r="AB74" s="9"/>
      <c r="AC74" s="40"/>
    </row>
    <row r="75" customFormat="false" ht="15" hidden="false" customHeight="false" outlineLevel="0" collapsed="false">
      <c r="A75" s="10" t="str">
        <f aca="false">IF(C75="","",IFERROR(VLOOKUP(C75,Lists!$Y$4:$Z$20,2,0),"??")&amp;"-"&amp;UPPER(SUBSTITUTE(D75," ",""))&amp;IF(E75&lt;&gt;"","-SP"&amp;TEXT(E75*1000,"0"),"")&amp;IF(F75&lt;&gt;"","-H"&amp;TEXT(F75*1000,"0"),"")&amp;"-"&amp;M75)</f>
        <v/>
      </c>
      <c r="B75" s="10" t="str">
        <f aca="false">IF(C75="","",C75&amp;" - "&amp;D75&amp;IF(E75&lt;&gt;"",", span "&amp;E75&amp;" m","")&amp;IF(F75&lt;&gt;"",", H "&amp;F75&amp;" m","")&amp;IF(G75&lt;&gt;"",", W "&amp;G75&amp;" m",""))</f>
        <v/>
      </c>
      <c r="C75" s="9"/>
      <c r="D75" s="9"/>
      <c r="E75" s="38"/>
      <c r="F75" s="38"/>
      <c r="G75" s="3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37"/>
      <c r="U75" s="38"/>
      <c r="V75" s="39"/>
      <c r="W75" s="39"/>
      <c r="X75" s="9"/>
      <c r="Y75" s="9"/>
      <c r="Z75" s="9"/>
      <c r="AA75" s="9"/>
      <c r="AB75" s="9"/>
      <c r="AC75" s="40"/>
    </row>
    <row r="76" customFormat="false" ht="15" hidden="false" customHeight="false" outlineLevel="0" collapsed="false">
      <c r="A76" s="10" t="str">
        <f aca="false">IF(C76="","",IFERROR(VLOOKUP(C76,Lists!$Y$4:$Z$20,2,0),"??")&amp;"-"&amp;UPPER(SUBSTITUTE(D76," ",""))&amp;IF(E76&lt;&gt;"","-SP"&amp;TEXT(E76*1000,"0"),"")&amp;IF(F76&lt;&gt;"","-H"&amp;TEXT(F76*1000,"0"),"")&amp;"-"&amp;M76)</f>
        <v/>
      </c>
      <c r="B76" s="10" t="str">
        <f aca="false">IF(C76="","",C76&amp;" - "&amp;D76&amp;IF(E76&lt;&gt;"",", span "&amp;E76&amp;" m","")&amp;IF(F76&lt;&gt;"",", H "&amp;F76&amp;" m","")&amp;IF(G76&lt;&gt;"",", W "&amp;G76&amp;" m",""))</f>
        <v/>
      </c>
      <c r="C76" s="9"/>
      <c r="D76" s="9"/>
      <c r="E76" s="38"/>
      <c r="F76" s="38"/>
      <c r="G76" s="3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37"/>
      <c r="U76" s="38"/>
      <c r="V76" s="39"/>
      <c r="W76" s="39"/>
      <c r="X76" s="9"/>
      <c r="Y76" s="9"/>
      <c r="Z76" s="9"/>
      <c r="AA76" s="9"/>
      <c r="AB76" s="9"/>
      <c r="AC76" s="40"/>
    </row>
    <row r="77" customFormat="false" ht="15" hidden="false" customHeight="false" outlineLevel="0" collapsed="false">
      <c r="A77" s="10" t="str">
        <f aca="false">IF(C77="","",IFERROR(VLOOKUP(C77,Lists!$Y$4:$Z$20,2,0),"??")&amp;"-"&amp;UPPER(SUBSTITUTE(D77," ",""))&amp;IF(E77&lt;&gt;"","-SP"&amp;TEXT(E77*1000,"0"),"")&amp;IF(F77&lt;&gt;"","-H"&amp;TEXT(F77*1000,"0"),"")&amp;"-"&amp;M77)</f>
        <v/>
      </c>
      <c r="B77" s="10" t="str">
        <f aca="false">IF(C77="","",C77&amp;" - "&amp;D77&amp;IF(E77&lt;&gt;"",", span "&amp;E77&amp;" m","")&amp;IF(F77&lt;&gt;"",", H "&amp;F77&amp;" m","")&amp;IF(G77&lt;&gt;"",", W "&amp;G77&amp;" m",""))</f>
        <v/>
      </c>
      <c r="C77" s="9"/>
      <c r="D77" s="9"/>
      <c r="E77" s="38"/>
      <c r="F77" s="38"/>
      <c r="G77" s="3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37"/>
      <c r="U77" s="38"/>
      <c r="V77" s="39"/>
      <c r="W77" s="39"/>
      <c r="X77" s="9"/>
      <c r="Y77" s="9"/>
      <c r="Z77" s="9"/>
      <c r="AA77" s="9"/>
      <c r="AB77" s="9"/>
      <c r="AC77" s="40"/>
    </row>
    <row r="78" customFormat="false" ht="15" hidden="false" customHeight="false" outlineLevel="0" collapsed="false">
      <c r="A78" s="10" t="str">
        <f aca="false">IF(C78="","",IFERROR(VLOOKUP(C78,Lists!$Y$4:$Z$20,2,0),"??")&amp;"-"&amp;UPPER(SUBSTITUTE(D78," ",""))&amp;IF(E78&lt;&gt;"","-SP"&amp;TEXT(E78*1000,"0"),"")&amp;IF(F78&lt;&gt;"","-H"&amp;TEXT(F78*1000,"0"),"")&amp;"-"&amp;M78)</f>
        <v/>
      </c>
      <c r="B78" s="10" t="str">
        <f aca="false">IF(C78="","",C78&amp;" - "&amp;D78&amp;IF(E78&lt;&gt;"",", span "&amp;E78&amp;" m","")&amp;IF(F78&lt;&gt;"",", H "&amp;F78&amp;" m","")&amp;IF(G78&lt;&gt;"",", W "&amp;G78&amp;" m",""))</f>
        <v/>
      </c>
      <c r="C78" s="9"/>
      <c r="D78" s="9"/>
      <c r="E78" s="38"/>
      <c r="F78" s="38"/>
      <c r="G78" s="3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37"/>
      <c r="U78" s="38"/>
      <c r="V78" s="39"/>
      <c r="W78" s="39"/>
      <c r="X78" s="9"/>
      <c r="Y78" s="9"/>
      <c r="Z78" s="9"/>
      <c r="AA78" s="9"/>
      <c r="AB78" s="9"/>
      <c r="AC78" s="40"/>
    </row>
    <row r="79" customFormat="false" ht="15" hidden="false" customHeight="false" outlineLevel="0" collapsed="false">
      <c r="A79" s="10" t="str">
        <f aca="false">IF(C79="","",IFERROR(VLOOKUP(C79,Lists!$Y$4:$Z$20,2,0),"??")&amp;"-"&amp;UPPER(SUBSTITUTE(D79," ",""))&amp;IF(E79&lt;&gt;"","-SP"&amp;TEXT(E79*1000,"0"),"")&amp;IF(F79&lt;&gt;"","-H"&amp;TEXT(F79*1000,"0"),"")&amp;"-"&amp;M79)</f>
        <v/>
      </c>
      <c r="B79" s="10" t="str">
        <f aca="false">IF(C79="","",C79&amp;" - "&amp;D79&amp;IF(E79&lt;&gt;"",", span "&amp;E79&amp;" m","")&amp;IF(F79&lt;&gt;"",", H "&amp;F79&amp;" m","")&amp;IF(G79&lt;&gt;"",", W "&amp;G79&amp;" m",""))</f>
        <v/>
      </c>
      <c r="C79" s="9"/>
      <c r="D79" s="9"/>
      <c r="E79" s="38"/>
      <c r="F79" s="38"/>
      <c r="G79" s="3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37"/>
      <c r="U79" s="38"/>
      <c r="V79" s="39"/>
      <c r="W79" s="39"/>
      <c r="X79" s="9"/>
      <c r="Y79" s="9"/>
      <c r="Z79" s="9"/>
      <c r="AA79" s="9"/>
      <c r="AB79" s="9"/>
      <c r="AC79" s="40"/>
    </row>
    <row r="80" customFormat="false" ht="15" hidden="false" customHeight="false" outlineLevel="0" collapsed="false">
      <c r="A80" s="10" t="str">
        <f aca="false">IF(C80="","",IFERROR(VLOOKUP(C80,Lists!$Y$4:$Z$20,2,0),"??")&amp;"-"&amp;UPPER(SUBSTITUTE(D80," ",""))&amp;IF(E80&lt;&gt;"","-SP"&amp;TEXT(E80*1000,"0"),"")&amp;IF(F80&lt;&gt;"","-H"&amp;TEXT(F80*1000,"0"),"")&amp;"-"&amp;M80)</f>
        <v/>
      </c>
      <c r="B80" s="10" t="str">
        <f aca="false">IF(C80="","",C80&amp;" - "&amp;D80&amp;IF(E80&lt;&gt;"",", span "&amp;E80&amp;" m","")&amp;IF(F80&lt;&gt;"",", H "&amp;F80&amp;" m","")&amp;IF(G80&lt;&gt;"",", W "&amp;G80&amp;" m",""))</f>
        <v/>
      </c>
      <c r="C80" s="9"/>
      <c r="D80" s="9"/>
      <c r="E80" s="38"/>
      <c r="F80" s="38"/>
      <c r="G80" s="3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37"/>
      <c r="U80" s="38"/>
      <c r="V80" s="39"/>
      <c r="W80" s="39"/>
      <c r="X80" s="9"/>
      <c r="Y80" s="9"/>
      <c r="Z80" s="9"/>
      <c r="AA80" s="9"/>
      <c r="AB80" s="9"/>
      <c r="AC80" s="40"/>
    </row>
    <row r="81" customFormat="false" ht="15" hidden="false" customHeight="false" outlineLevel="0" collapsed="false">
      <c r="A81" s="10" t="str">
        <f aca="false">IF(C81="","",IFERROR(VLOOKUP(C81,Lists!$Y$4:$Z$20,2,0),"??")&amp;"-"&amp;UPPER(SUBSTITUTE(D81," ",""))&amp;IF(E81&lt;&gt;"","-SP"&amp;TEXT(E81*1000,"0"),"")&amp;IF(F81&lt;&gt;"","-H"&amp;TEXT(F81*1000,"0"),"")&amp;"-"&amp;M81)</f>
        <v/>
      </c>
      <c r="B81" s="10" t="str">
        <f aca="false">IF(C81="","",C81&amp;" - "&amp;D81&amp;IF(E81&lt;&gt;"",", span "&amp;E81&amp;" m","")&amp;IF(F81&lt;&gt;"",", H "&amp;F81&amp;" m","")&amp;IF(G81&lt;&gt;"",", W "&amp;G81&amp;" m",""))</f>
        <v/>
      </c>
      <c r="C81" s="9"/>
      <c r="D81" s="9"/>
      <c r="E81" s="38"/>
      <c r="F81" s="38"/>
      <c r="G81" s="3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37"/>
      <c r="U81" s="38"/>
      <c r="V81" s="39"/>
      <c r="W81" s="39"/>
      <c r="X81" s="9"/>
      <c r="Y81" s="9"/>
      <c r="Z81" s="9"/>
      <c r="AA81" s="9"/>
      <c r="AB81" s="9"/>
      <c r="AC81" s="40"/>
    </row>
    <row r="82" customFormat="false" ht="15" hidden="false" customHeight="false" outlineLevel="0" collapsed="false">
      <c r="A82" s="10" t="str">
        <f aca="false">IF(C82="","",IFERROR(VLOOKUP(C82,Lists!$Y$4:$Z$20,2,0),"??")&amp;"-"&amp;UPPER(SUBSTITUTE(D82," ",""))&amp;IF(E82&lt;&gt;"","-SP"&amp;TEXT(E82*1000,"0"),"")&amp;IF(F82&lt;&gt;"","-H"&amp;TEXT(F82*1000,"0"),"")&amp;"-"&amp;M82)</f>
        <v/>
      </c>
      <c r="B82" s="10" t="str">
        <f aca="false">IF(C82="","",C82&amp;" - "&amp;D82&amp;IF(E82&lt;&gt;"",", span "&amp;E82&amp;" m","")&amp;IF(F82&lt;&gt;"",", H "&amp;F82&amp;" m","")&amp;IF(G82&lt;&gt;"",", W "&amp;G82&amp;" m",""))</f>
        <v/>
      </c>
      <c r="C82" s="9"/>
      <c r="D82" s="9"/>
      <c r="E82" s="38"/>
      <c r="F82" s="38"/>
      <c r="G82" s="3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37"/>
      <c r="U82" s="38"/>
      <c r="V82" s="39"/>
      <c r="W82" s="39"/>
      <c r="X82" s="9"/>
      <c r="Y82" s="9"/>
      <c r="Z82" s="9"/>
      <c r="AA82" s="9"/>
      <c r="AB82" s="9"/>
      <c r="AC82" s="40"/>
    </row>
    <row r="83" customFormat="false" ht="15" hidden="false" customHeight="false" outlineLevel="0" collapsed="false">
      <c r="A83" s="10" t="str">
        <f aca="false">IF(C83="","",IFERROR(VLOOKUP(C83,Lists!$Y$4:$Z$20,2,0),"??")&amp;"-"&amp;UPPER(SUBSTITUTE(D83," ",""))&amp;IF(E83&lt;&gt;"","-SP"&amp;TEXT(E83*1000,"0"),"")&amp;IF(F83&lt;&gt;"","-H"&amp;TEXT(F83*1000,"0"),"")&amp;"-"&amp;M83)</f>
        <v/>
      </c>
      <c r="B83" s="10" t="str">
        <f aca="false">IF(C83="","",C83&amp;" - "&amp;D83&amp;IF(E83&lt;&gt;"",", span "&amp;E83&amp;" m","")&amp;IF(F83&lt;&gt;"",", H "&amp;F83&amp;" m","")&amp;IF(G83&lt;&gt;"",", W "&amp;G83&amp;" m",""))</f>
        <v/>
      </c>
      <c r="C83" s="9"/>
      <c r="D83" s="9"/>
      <c r="E83" s="38"/>
      <c r="F83" s="38"/>
      <c r="G83" s="3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37"/>
      <c r="U83" s="38"/>
      <c r="V83" s="39"/>
      <c r="W83" s="39"/>
      <c r="X83" s="9"/>
      <c r="Y83" s="9"/>
      <c r="Z83" s="9"/>
      <c r="AA83" s="9"/>
      <c r="AB83" s="9"/>
      <c r="AC83" s="40"/>
    </row>
    <row r="84" customFormat="false" ht="15" hidden="false" customHeight="false" outlineLevel="0" collapsed="false">
      <c r="A84" s="10" t="str">
        <f aca="false">IF(C84="","",IFERROR(VLOOKUP(C84,Lists!$Y$4:$Z$20,2,0),"??")&amp;"-"&amp;UPPER(SUBSTITUTE(D84," ",""))&amp;IF(E84&lt;&gt;"","-SP"&amp;TEXT(E84*1000,"0"),"")&amp;IF(F84&lt;&gt;"","-H"&amp;TEXT(F84*1000,"0"),"")&amp;"-"&amp;M84)</f>
        <v/>
      </c>
      <c r="B84" s="10" t="str">
        <f aca="false">IF(C84="","",C84&amp;" - "&amp;D84&amp;IF(E84&lt;&gt;"",", span "&amp;E84&amp;" m","")&amp;IF(F84&lt;&gt;"",", H "&amp;F84&amp;" m","")&amp;IF(G84&lt;&gt;"",", W "&amp;G84&amp;" m",""))</f>
        <v/>
      </c>
      <c r="C84" s="9"/>
      <c r="D84" s="9"/>
      <c r="E84" s="38"/>
      <c r="F84" s="38"/>
      <c r="G84" s="3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37"/>
      <c r="U84" s="38"/>
      <c r="V84" s="39"/>
      <c r="W84" s="39"/>
      <c r="X84" s="9"/>
      <c r="Y84" s="9"/>
      <c r="Z84" s="9"/>
      <c r="AA84" s="9"/>
      <c r="AB84" s="9"/>
      <c r="AC84" s="40"/>
    </row>
    <row r="85" customFormat="false" ht="15" hidden="false" customHeight="false" outlineLevel="0" collapsed="false">
      <c r="A85" s="10" t="str">
        <f aca="false">IF(C85="","",IFERROR(VLOOKUP(C85,Lists!$Y$4:$Z$20,2,0),"??")&amp;"-"&amp;UPPER(SUBSTITUTE(D85," ",""))&amp;IF(E85&lt;&gt;"","-SP"&amp;TEXT(E85*1000,"0"),"")&amp;IF(F85&lt;&gt;"","-H"&amp;TEXT(F85*1000,"0"),"")&amp;"-"&amp;M85)</f>
        <v/>
      </c>
      <c r="B85" s="10" t="str">
        <f aca="false">IF(C85="","",C85&amp;" - "&amp;D85&amp;IF(E85&lt;&gt;"",", span "&amp;E85&amp;" m","")&amp;IF(F85&lt;&gt;"",", H "&amp;F85&amp;" m","")&amp;IF(G85&lt;&gt;"",", W "&amp;G85&amp;" m",""))</f>
        <v/>
      </c>
      <c r="C85" s="9"/>
      <c r="D85" s="9"/>
      <c r="E85" s="38"/>
      <c r="F85" s="38"/>
      <c r="G85" s="3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37"/>
      <c r="U85" s="38"/>
      <c r="V85" s="39"/>
      <c r="W85" s="39"/>
      <c r="X85" s="9"/>
      <c r="Y85" s="9"/>
      <c r="Z85" s="9"/>
      <c r="AA85" s="9"/>
      <c r="AB85" s="9"/>
      <c r="AC85" s="40"/>
    </row>
    <row r="86" customFormat="false" ht="15" hidden="false" customHeight="false" outlineLevel="0" collapsed="false">
      <c r="A86" s="10" t="str">
        <f aca="false">IF(C86="","",IFERROR(VLOOKUP(C86,Lists!$Y$4:$Z$20,2,0),"??")&amp;"-"&amp;UPPER(SUBSTITUTE(D86," ",""))&amp;IF(E86&lt;&gt;"","-SP"&amp;TEXT(E86*1000,"0"),"")&amp;IF(F86&lt;&gt;"","-H"&amp;TEXT(F86*1000,"0"),"")&amp;"-"&amp;M86)</f>
        <v/>
      </c>
      <c r="B86" s="10" t="str">
        <f aca="false">IF(C86="","",C86&amp;" - "&amp;D86&amp;IF(E86&lt;&gt;"",", span "&amp;E86&amp;" m","")&amp;IF(F86&lt;&gt;"",", H "&amp;F86&amp;" m","")&amp;IF(G86&lt;&gt;"",", W "&amp;G86&amp;" m",""))</f>
        <v/>
      </c>
      <c r="C86" s="9"/>
      <c r="D86" s="9"/>
      <c r="E86" s="38"/>
      <c r="F86" s="38"/>
      <c r="G86" s="3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37"/>
      <c r="U86" s="38"/>
      <c r="V86" s="39"/>
      <c r="W86" s="39"/>
      <c r="X86" s="9"/>
      <c r="Y86" s="9"/>
      <c r="Z86" s="9"/>
      <c r="AA86" s="9"/>
      <c r="AB86" s="9"/>
      <c r="AC86" s="40"/>
    </row>
    <row r="87" customFormat="false" ht="15" hidden="false" customHeight="false" outlineLevel="0" collapsed="false">
      <c r="A87" s="10" t="str">
        <f aca="false">IF(C87="","",IFERROR(VLOOKUP(C87,Lists!$Y$4:$Z$20,2,0),"??")&amp;"-"&amp;UPPER(SUBSTITUTE(D87," ",""))&amp;IF(E87&lt;&gt;"","-SP"&amp;TEXT(E87*1000,"0"),"")&amp;IF(F87&lt;&gt;"","-H"&amp;TEXT(F87*1000,"0"),"")&amp;"-"&amp;M87)</f>
        <v/>
      </c>
      <c r="B87" s="10" t="str">
        <f aca="false">IF(C87="","",C87&amp;" - "&amp;D87&amp;IF(E87&lt;&gt;"",", span "&amp;E87&amp;" m","")&amp;IF(F87&lt;&gt;"",", H "&amp;F87&amp;" m","")&amp;IF(G87&lt;&gt;"",", W "&amp;G87&amp;" m",""))</f>
        <v/>
      </c>
      <c r="C87" s="9"/>
      <c r="D87" s="9"/>
      <c r="E87" s="38"/>
      <c r="F87" s="38"/>
      <c r="G87" s="3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37"/>
      <c r="U87" s="38"/>
      <c r="V87" s="39"/>
      <c r="W87" s="39"/>
      <c r="X87" s="9"/>
      <c r="Y87" s="9"/>
      <c r="Z87" s="9"/>
      <c r="AA87" s="9"/>
      <c r="AB87" s="9"/>
      <c r="AC87" s="40"/>
    </row>
    <row r="88" customFormat="false" ht="15" hidden="false" customHeight="false" outlineLevel="0" collapsed="false">
      <c r="A88" s="10" t="str">
        <f aca="false">IF(C88="","",IFERROR(VLOOKUP(C88,Lists!$Y$4:$Z$20,2,0),"??")&amp;"-"&amp;UPPER(SUBSTITUTE(D88," ",""))&amp;IF(E88&lt;&gt;"","-SP"&amp;TEXT(E88*1000,"0"),"")&amp;IF(F88&lt;&gt;"","-H"&amp;TEXT(F88*1000,"0"),"")&amp;"-"&amp;M88)</f>
        <v/>
      </c>
      <c r="B88" s="10" t="str">
        <f aca="false">IF(C88="","",C88&amp;" - "&amp;D88&amp;IF(E88&lt;&gt;"",", span "&amp;E88&amp;" m","")&amp;IF(F88&lt;&gt;"",", H "&amp;F88&amp;" m","")&amp;IF(G88&lt;&gt;"",", W "&amp;G88&amp;" m",""))</f>
        <v/>
      </c>
      <c r="C88" s="9"/>
      <c r="D88" s="9"/>
      <c r="E88" s="38"/>
      <c r="F88" s="38"/>
      <c r="G88" s="3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37"/>
      <c r="U88" s="38"/>
      <c r="V88" s="39"/>
      <c r="W88" s="39"/>
      <c r="X88" s="9"/>
      <c r="Y88" s="9"/>
      <c r="Z88" s="9"/>
      <c r="AA88" s="9"/>
      <c r="AB88" s="9"/>
      <c r="AC88" s="40"/>
    </row>
    <row r="89" customFormat="false" ht="15" hidden="false" customHeight="false" outlineLevel="0" collapsed="false">
      <c r="A89" s="10" t="str">
        <f aca="false">IF(C89="","",IFERROR(VLOOKUP(C89,Lists!$Y$4:$Z$20,2,0),"??")&amp;"-"&amp;UPPER(SUBSTITUTE(D89," ",""))&amp;IF(E89&lt;&gt;"","-SP"&amp;TEXT(E89*1000,"0"),"")&amp;IF(F89&lt;&gt;"","-H"&amp;TEXT(F89*1000,"0"),"")&amp;"-"&amp;M89)</f>
        <v/>
      </c>
      <c r="B89" s="10" t="str">
        <f aca="false">IF(C89="","",C89&amp;" - "&amp;D89&amp;IF(E89&lt;&gt;"",", span "&amp;E89&amp;" m","")&amp;IF(F89&lt;&gt;"",", H "&amp;F89&amp;" m","")&amp;IF(G89&lt;&gt;"",", W "&amp;G89&amp;" m",""))</f>
        <v/>
      </c>
      <c r="C89" s="9"/>
      <c r="D89" s="9"/>
      <c r="E89" s="38"/>
      <c r="F89" s="38"/>
      <c r="G89" s="3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37"/>
      <c r="U89" s="38"/>
      <c r="V89" s="39"/>
      <c r="W89" s="39"/>
      <c r="X89" s="9"/>
      <c r="Y89" s="9"/>
      <c r="Z89" s="9"/>
      <c r="AA89" s="9"/>
      <c r="AB89" s="9"/>
      <c r="AC89" s="40"/>
    </row>
    <row r="90" customFormat="false" ht="15" hidden="false" customHeight="false" outlineLevel="0" collapsed="false">
      <c r="A90" s="10" t="str">
        <f aca="false">IF(C90="","",IFERROR(VLOOKUP(C90,Lists!$Y$4:$Z$20,2,0),"??")&amp;"-"&amp;UPPER(SUBSTITUTE(D90," ",""))&amp;IF(E90&lt;&gt;"","-SP"&amp;TEXT(E90*1000,"0"),"")&amp;IF(F90&lt;&gt;"","-H"&amp;TEXT(F90*1000,"0"),"")&amp;"-"&amp;M90)</f>
        <v/>
      </c>
      <c r="B90" s="10" t="str">
        <f aca="false">IF(C90="","",C90&amp;" - "&amp;D90&amp;IF(E90&lt;&gt;"",", span "&amp;E90&amp;" m","")&amp;IF(F90&lt;&gt;"",", H "&amp;F90&amp;" m","")&amp;IF(G90&lt;&gt;"",", W "&amp;G90&amp;" m",""))</f>
        <v/>
      </c>
      <c r="C90" s="9"/>
      <c r="D90" s="9"/>
      <c r="E90" s="38"/>
      <c r="F90" s="38"/>
      <c r="G90" s="3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37"/>
      <c r="U90" s="38"/>
      <c r="V90" s="39"/>
      <c r="W90" s="39"/>
      <c r="X90" s="9"/>
      <c r="Y90" s="9"/>
      <c r="Z90" s="9"/>
      <c r="AA90" s="9"/>
      <c r="AB90" s="9"/>
      <c r="AC90" s="40"/>
    </row>
    <row r="91" customFormat="false" ht="15" hidden="false" customHeight="false" outlineLevel="0" collapsed="false">
      <c r="A91" s="10" t="str">
        <f aca="false">IF(C91="","",IFERROR(VLOOKUP(C91,Lists!$Y$4:$Z$20,2,0),"??")&amp;"-"&amp;UPPER(SUBSTITUTE(D91," ",""))&amp;IF(E91&lt;&gt;"","-SP"&amp;TEXT(E91*1000,"0"),"")&amp;IF(F91&lt;&gt;"","-H"&amp;TEXT(F91*1000,"0"),"")&amp;"-"&amp;M91)</f>
        <v/>
      </c>
      <c r="B91" s="10" t="str">
        <f aca="false">IF(C91="","",C91&amp;" - "&amp;D91&amp;IF(E91&lt;&gt;"",", span "&amp;E91&amp;" m","")&amp;IF(F91&lt;&gt;"",", H "&amp;F91&amp;" m","")&amp;IF(G91&lt;&gt;"",", W "&amp;G91&amp;" m",""))</f>
        <v/>
      </c>
      <c r="C91" s="9"/>
      <c r="D91" s="9"/>
      <c r="E91" s="38"/>
      <c r="F91" s="38"/>
      <c r="G91" s="3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37"/>
      <c r="U91" s="38"/>
      <c r="V91" s="39"/>
      <c r="W91" s="39"/>
      <c r="X91" s="9"/>
      <c r="Y91" s="9"/>
      <c r="Z91" s="9"/>
      <c r="AA91" s="9"/>
      <c r="AB91" s="9"/>
      <c r="AC91" s="40"/>
    </row>
    <row r="92" customFormat="false" ht="15" hidden="false" customHeight="false" outlineLevel="0" collapsed="false">
      <c r="A92" s="10" t="str">
        <f aca="false">IF(C92="","",IFERROR(VLOOKUP(C92,Lists!$Y$4:$Z$20,2,0),"??")&amp;"-"&amp;UPPER(SUBSTITUTE(D92," ",""))&amp;IF(E92&lt;&gt;"","-SP"&amp;TEXT(E92*1000,"0"),"")&amp;IF(F92&lt;&gt;"","-H"&amp;TEXT(F92*1000,"0"),"")&amp;"-"&amp;M92)</f>
        <v/>
      </c>
      <c r="B92" s="10" t="str">
        <f aca="false">IF(C92="","",C92&amp;" - "&amp;D92&amp;IF(E92&lt;&gt;"",", span "&amp;E92&amp;" m","")&amp;IF(F92&lt;&gt;"",", H "&amp;F92&amp;" m","")&amp;IF(G92&lt;&gt;"",", W "&amp;G92&amp;" m",""))</f>
        <v/>
      </c>
      <c r="C92" s="9"/>
      <c r="D92" s="9"/>
      <c r="E92" s="38"/>
      <c r="F92" s="38"/>
      <c r="G92" s="3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37"/>
      <c r="U92" s="38"/>
      <c r="V92" s="39"/>
      <c r="W92" s="39"/>
      <c r="X92" s="9"/>
      <c r="Y92" s="9"/>
      <c r="Z92" s="9"/>
      <c r="AA92" s="9"/>
      <c r="AB92" s="9"/>
      <c r="AC92" s="40"/>
    </row>
    <row r="93" customFormat="false" ht="15" hidden="false" customHeight="false" outlineLevel="0" collapsed="false">
      <c r="A93" s="10" t="str">
        <f aca="false">IF(C93="","",IFERROR(VLOOKUP(C93,Lists!$Y$4:$Z$20,2,0),"??")&amp;"-"&amp;UPPER(SUBSTITUTE(D93," ",""))&amp;IF(E93&lt;&gt;"","-SP"&amp;TEXT(E93*1000,"0"),"")&amp;IF(F93&lt;&gt;"","-H"&amp;TEXT(F93*1000,"0"),"")&amp;"-"&amp;M93)</f>
        <v/>
      </c>
      <c r="B93" s="10" t="str">
        <f aca="false">IF(C93="","",C93&amp;" - "&amp;D93&amp;IF(E93&lt;&gt;"",", span "&amp;E93&amp;" m","")&amp;IF(F93&lt;&gt;"",", H "&amp;F93&amp;" m","")&amp;IF(G93&lt;&gt;"",", W "&amp;G93&amp;" m",""))</f>
        <v/>
      </c>
      <c r="C93" s="9"/>
      <c r="D93" s="9"/>
      <c r="E93" s="38"/>
      <c r="F93" s="38"/>
      <c r="G93" s="3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37"/>
      <c r="U93" s="38"/>
      <c r="V93" s="39"/>
      <c r="W93" s="39"/>
      <c r="X93" s="9"/>
      <c r="Y93" s="9"/>
      <c r="Z93" s="9"/>
      <c r="AA93" s="9"/>
      <c r="AB93" s="9"/>
      <c r="AC93" s="40"/>
    </row>
    <row r="94" customFormat="false" ht="15" hidden="false" customHeight="false" outlineLevel="0" collapsed="false">
      <c r="A94" s="10" t="str">
        <f aca="false">IF(C94="","",IFERROR(VLOOKUP(C94,Lists!$Y$4:$Z$20,2,0),"??")&amp;"-"&amp;UPPER(SUBSTITUTE(D94," ",""))&amp;IF(E94&lt;&gt;"","-SP"&amp;TEXT(E94*1000,"0"),"")&amp;IF(F94&lt;&gt;"","-H"&amp;TEXT(F94*1000,"0"),"")&amp;"-"&amp;M94)</f>
        <v/>
      </c>
      <c r="B94" s="10" t="str">
        <f aca="false">IF(C94="","",C94&amp;" - "&amp;D94&amp;IF(E94&lt;&gt;"",", span "&amp;E94&amp;" m","")&amp;IF(F94&lt;&gt;"",", H "&amp;F94&amp;" m","")&amp;IF(G94&lt;&gt;"",", W "&amp;G94&amp;" m",""))</f>
        <v/>
      </c>
      <c r="C94" s="9"/>
      <c r="D94" s="9"/>
      <c r="E94" s="38"/>
      <c r="F94" s="38"/>
      <c r="G94" s="3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37"/>
      <c r="U94" s="38"/>
      <c r="V94" s="39"/>
      <c r="W94" s="39"/>
      <c r="X94" s="9"/>
      <c r="Y94" s="9"/>
      <c r="Z94" s="9"/>
      <c r="AA94" s="9"/>
      <c r="AB94" s="9"/>
      <c r="AC94" s="40"/>
    </row>
    <row r="95" customFormat="false" ht="15" hidden="false" customHeight="false" outlineLevel="0" collapsed="false">
      <c r="A95" s="10" t="str">
        <f aca="false">IF(C95="","",IFERROR(VLOOKUP(C95,Lists!$Y$4:$Z$20,2,0),"??")&amp;"-"&amp;UPPER(SUBSTITUTE(D95," ",""))&amp;IF(E95&lt;&gt;"","-SP"&amp;TEXT(E95*1000,"0"),"")&amp;IF(F95&lt;&gt;"","-H"&amp;TEXT(F95*1000,"0"),"")&amp;"-"&amp;M95)</f>
        <v/>
      </c>
      <c r="B95" s="10" t="str">
        <f aca="false">IF(C95="","",C95&amp;" - "&amp;D95&amp;IF(E95&lt;&gt;"",", span "&amp;E95&amp;" m","")&amp;IF(F95&lt;&gt;"",", H "&amp;F95&amp;" m","")&amp;IF(G95&lt;&gt;"",", W "&amp;G95&amp;" m",""))</f>
        <v/>
      </c>
      <c r="C95" s="9"/>
      <c r="D95" s="9"/>
      <c r="E95" s="38"/>
      <c r="F95" s="38"/>
      <c r="G95" s="3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37"/>
      <c r="U95" s="38"/>
      <c r="V95" s="39"/>
      <c r="W95" s="39"/>
      <c r="X95" s="9"/>
      <c r="Y95" s="9"/>
      <c r="Z95" s="9"/>
      <c r="AA95" s="9"/>
      <c r="AB95" s="9"/>
      <c r="AC95" s="40"/>
    </row>
    <row r="96" customFormat="false" ht="15" hidden="false" customHeight="false" outlineLevel="0" collapsed="false">
      <c r="A96" s="10" t="str">
        <f aca="false">IF(C96="","",IFERROR(VLOOKUP(C96,Lists!$Y$4:$Z$20,2,0),"??")&amp;"-"&amp;UPPER(SUBSTITUTE(D96," ",""))&amp;IF(E96&lt;&gt;"","-SP"&amp;TEXT(E96*1000,"0"),"")&amp;IF(F96&lt;&gt;"","-H"&amp;TEXT(F96*1000,"0"),"")&amp;"-"&amp;M96)</f>
        <v/>
      </c>
      <c r="B96" s="10" t="str">
        <f aca="false">IF(C96="","",C96&amp;" - "&amp;D96&amp;IF(E96&lt;&gt;"",", span "&amp;E96&amp;" m","")&amp;IF(F96&lt;&gt;"",", H "&amp;F96&amp;" m","")&amp;IF(G96&lt;&gt;"",", W "&amp;G96&amp;" m",""))</f>
        <v/>
      </c>
      <c r="C96" s="9"/>
      <c r="D96" s="9"/>
      <c r="E96" s="38"/>
      <c r="F96" s="38"/>
      <c r="G96" s="3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37"/>
      <c r="U96" s="38"/>
      <c r="V96" s="39"/>
      <c r="W96" s="39"/>
      <c r="X96" s="9"/>
      <c r="Y96" s="9"/>
      <c r="Z96" s="9"/>
      <c r="AA96" s="9"/>
      <c r="AB96" s="9"/>
      <c r="AC96" s="40"/>
    </row>
    <row r="97" customFormat="false" ht="15" hidden="false" customHeight="false" outlineLevel="0" collapsed="false">
      <c r="A97" s="10" t="str">
        <f aca="false">IF(C97="","",IFERROR(VLOOKUP(C97,Lists!$Y$4:$Z$20,2,0),"??")&amp;"-"&amp;UPPER(SUBSTITUTE(D97," ",""))&amp;IF(E97&lt;&gt;"","-SP"&amp;TEXT(E97*1000,"0"),"")&amp;IF(F97&lt;&gt;"","-H"&amp;TEXT(F97*1000,"0"),"")&amp;"-"&amp;M97)</f>
        <v/>
      </c>
      <c r="B97" s="10" t="str">
        <f aca="false">IF(C97="","",C97&amp;" - "&amp;D97&amp;IF(E97&lt;&gt;"",", span "&amp;E97&amp;" m","")&amp;IF(F97&lt;&gt;"",", H "&amp;F97&amp;" m","")&amp;IF(G97&lt;&gt;"",", W "&amp;G97&amp;" m",""))</f>
        <v/>
      </c>
      <c r="C97" s="9"/>
      <c r="D97" s="9"/>
      <c r="E97" s="38"/>
      <c r="F97" s="38"/>
      <c r="G97" s="3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37"/>
      <c r="U97" s="38"/>
      <c r="V97" s="39"/>
      <c r="W97" s="39"/>
      <c r="X97" s="9"/>
      <c r="Y97" s="9"/>
      <c r="Z97" s="9"/>
      <c r="AA97" s="9"/>
      <c r="AB97" s="9"/>
      <c r="AC97" s="40"/>
    </row>
    <row r="98" customFormat="false" ht="15" hidden="false" customHeight="false" outlineLevel="0" collapsed="false">
      <c r="A98" s="10" t="str">
        <f aca="false">IF(C98="","",IFERROR(VLOOKUP(C98,Lists!$Y$4:$Z$20,2,0),"??")&amp;"-"&amp;UPPER(SUBSTITUTE(D98," ",""))&amp;IF(E98&lt;&gt;"","-SP"&amp;TEXT(E98*1000,"0"),"")&amp;IF(F98&lt;&gt;"","-H"&amp;TEXT(F98*1000,"0"),"")&amp;"-"&amp;M98)</f>
        <v/>
      </c>
      <c r="B98" s="10" t="str">
        <f aca="false">IF(C98="","",C98&amp;" - "&amp;D98&amp;IF(E98&lt;&gt;"",", span "&amp;E98&amp;" m","")&amp;IF(F98&lt;&gt;"",", H "&amp;F98&amp;" m","")&amp;IF(G98&lt;&gt;"",", W "&amp;G98&amp;" m",""))</f>
        <v/>
      </c>
      <c r="C98" s="9"/>
      <c r="D98" s="9"/>
      <c r="E98" s="38"/>
      <c r="F98" s="38"/>
      <c r="G98" s="3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37"/>
      <c r="U98" s="38"/>
      <c r="V98" s="39"/>
      <c r="W98" s="39"/>
      <c r="X98" s="9"/>
      <c r="Y98" s="9"/>
      <c r="Z98" s="9"/>
      <c r="AA98" s="9"/>
      <c r="AB98" s="9"/>
      <c r="AC98" s="40"/>
    </row>
    <row r="99" customFormat="false" ht="15" hidden="false" customHeight="false" outlineLevel="0" collapsed="false">
      <c r="A99" s="10" t="str">
        <f aca="false">IF(C99="","",IFERROR(VLOOKUP(C99,Lists!$Y$4:$Z$20,2,0),"??")&amp;"-"&amp;UPPER(SUBSTITUTE(D99," ",""))&amp;IF(E99&lt;&gt;"","-SP"&amp;TEXT(E99*1000,"0"),"")&amp;IF(F99&lt;&gt;"","-H"&amp;TEXT(F99*1000,"0"),"")&amp;"-"&amp;M99)</f>
        <v/>
      </c>
      <c r="B99" s="10" t="str">
        <f aca="false">IF(C99="","",C99&amp;" - "&amp;D99&amp;IF(E99&lt;&gt;"",", span "&amp;E99&amp;" m","")&amp;IF(F99&lt;&gt;"",", H "&amp;F99&amp;" m","")&amp;IF(G99&lt;&gt;"",", W "&amp;G99&amp;" m",""))</f>
        <v/>
      </c>
      <c r="C99" s="9"/>
      <c r="D99" s="9"/>
      <c r="E99" s="38"/>
      <c r="F99" s="38"/>
      <c r="G99" s="3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37"/>
      <c r="U99" s="38"/>
      <c r="V99" s="39"/>
      <c r="W99" s="39"/>
      <c r="X99" s="9"/>
      <c r="Y99" s="9"/>
      <c r="Z99" s="9"/>
      <c r="AA99" s="9"/>
      <c r="AB99" s="9"/>
      <c r="AC99" s="40"/>
    </row>
    <row r="100" customFormat="false" ht="15" hidden="false" customHeight="false" outlineLevel="0" collapsed="false">
      <c r="A100" s="10" t="str">
        <f aca="false">IF(C100="","",IFERROR(VLOOKUP(C100,Lists!$Y$4:$Z$20,2,0),"??")&amp;"-"&amp;UPPER(SUBSTITUTE(D100," ",""))&amp;IF(E100&lt;&gt;"","-SP"&amp;TEXT(E100*1000,"0"),"")&amp;IF(F100&lt;&gt;"","-H"&amp;TEXT(F100*1000,"0"),"")&amp;"-"&amp;M100)</f>
        <v/>
      </c>
      <c r="B100" s="10" t="str">
        <f aca="false">IF(C100="","",C100&amp;" - "&amp;D100&amp;IF(E100&lt;&gt;"",", span "&amp;E100&amp;" m","")&amp;IF(F100&lt;&gt;"",", H "&amp;F100&amp;" m","")&amp;IF(G100&lt;&gt;"",", W "&amp;G100&amp;" m",""))</f>
        <v/>
      </c>
      <c r="C100" s="9"/>
      <c r="D100" s="9"/>
      <c r="E100" s="38"/>
      <c r="F100" s="38"/>
      <c r="G100" s="3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37"/>
      <c r="U100" s="38"/>
      <c r="V100" s="39"/>
      <c r="W100" s="39"/>
      <c r="X100" s="9"/>
      <c r="Y100" s="9"/>
      <c r="Z100" s="9"/>
      <c r="AA100" s="9"/>
      <c r="AB100" s="9"/>
      <c r="AC100" s="40"/>
    </row>
    <row r="101" customFormat="false" ht="15" hidden="false" customHeight="false" outlineLevel="0" collapsed="false">
      <c r="A101" s="10" t="str">
        <f aca="false">IF(C101="","",IFERROR(VLOOKUP(C101,Lists!$Y$4:$Z$20,2,0),"??")&amp;"-"&amp;UPPER(SUBSTITUTE(D101," ",""))&amp;IF(E101&lt;&gt;"","-SP"&amp;TEXT(E101*1000,"0"),"")&amp;IF(F101&lt;&gt;"","-H"&amp;TEXT(F101*1000,"0"),"")&amp;"-"&amp;M101)</f>
        <v/>
      </c>
      <c r="B101" s="10" t="str">
        <f aca="false">IF(C101="","",C101&amp;" - "&amp;D101&amp;IF(E101&lt;&gt;"",", span "&amp;E101&amp;" m","")&amp;IF(F101&lt;&gt;"",", H "&amp;F101&amp;" m","")&amp;IF(G101&lt;&gt;"",", W "&amp;G101&amp;" m",""))</f>
        <v/>
      </c>
      <c r="C101" s="9"/>
      <c r="D101" s="9"/>
      <c r="E101" s="38"/>
      <c r="F101" s="38"/>
      <c r="G101" s="3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37"/>
      <c r="U101" s="38"/>
      <c r="V101" s="39"/>
      <c r="W101" s="39"/>
      <c r="X101" s="9"/>
      <c r="Y101" s="9"/>
      <c r="Z101" s="9"/>
      <c r="AA101" s="9"/>
      <c r="AB101" s="9"/>
      <c r="AC101" s="40"/>
    </row>
    <row r="102" customFormat="false" ht="15" hidden="false" customHeight="false" outlineLevel="0" collapsed="false">
      <c r="A102" s="10" t="str">
        <f aca="false">IF(C102="","",IFERROR(VLOOKUP(C102,Lists!$Y$4:$Z$20,2,0),"??")&amp;"-"&amp;UPPER(SUBSTITUTE(D102," ",""))&amp;IF(E102&lt;&gt;"","-SP"&amp;TEXT(E102*1000,"0"),"")&amp;IF(F102&lt;&gt;"","-H"&amp;TEXT(F102*1000,"0"),"")&amp;"-"&amp;M102)</f>
        <v/>
      </c>
      <c r="B102" s="10" t="str">
        <f aca="false">IF(C102="","",C102&amp;" - "&amp;D102&amp;IF(E102&lt;&gt;"",", span "&amp;E102&amp;" m","")&amp;IF(F102&lt;&gt;"",", H "&amp;F102&amp;" m","")&amp;IF(G102&lt;&gt;"",", W "&amp;G102&amp;" m",""))</f>
        <v/>
      </c>
      <c r="C102" s="9"/>
      <c r="D102" s="9"/>
      <c r="E102" s="38"/>
      <c r="F102" s="38"/>
      <c r="G102" s="3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37"/>
      <c r="U102" s="38"/>
      <c r="V102" s="39"/>
      <c r="W102" s="39"/>
      <c r="X102" s="9"/>
      <c r="Y102" s="9"/>
      <c r="Z102" s="9"/>
      <c r="AA102" s="9"/>
      <c r="AB102" s="9"/>
      <c r="AC102" s="40"/>
    </row>
    <row r="103" customFormat="false" ht="15" hidden="false" customHeight="false" outlineLevel="0" collapsed="false">
      <c r="A103" s="10" t="str">
        <f aca="false">IF(C103="","",IFERROR(VLOOKUP(C103,Lists!$Y$4:$Z$20,2,0),"??")&amp;"-"&amp;UPPER(SUBSTITUTE(D103," ",""))&amp;IF(E103&lt;&gt;"","-SP"&amp;TEXT(E103*1000,"0"),"")&amp;IF(F103&lt;&gt;"","-H"&amp;TEXT(F103*1000,"0"),"")&amp;"-"&amp;M103)</f>
        <v/>
      </c>
      <c r="B103" s="10" t="str">
        <f aca="false">IF(C103="","",C103&amp;" - "&amp;D103&amp;IF(E103&lt;&gt;"",", span "&amp;E103&amp;" m","")&amp;IF(F103&lt;&gt;"",", H "&amp;F103&amp;" m","")&amp;IF(G103&lt;&gt;"",", W "&amp;G103&amp;" m",""))</f>
        <v/>
      </c>
      <c r="C103" s="9"/>
      <c r="D103" s="9"/>
      <c r="E103" s="38"/>
      <c r="F103" s="38"/>
      <c r="G103" s="3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37"/>
      <c r="U103" s="38"/>
      <c r="V103" s="39"/>
      <c r="W103" s="39"/>
      <c r="X103" s="9"/>
      <c r="Y103" s="9"/>
      <c r="Z103" s="9"/>
      <c r="AA103" s="9"/>
      <c r="AB103" s="9"/>
      <c r="AC103" s="40"/>
    </row>
    <row r="104" customFormat="false" ht="15" hidden="false" customHeight="false" outlineLevel="0" collapsed="false">
      <c r="A104" s="10" t="str">
        <f aca="false">IF(C104="","",IFERROR(VLOOKUP(C104,Lists!$Y$4:$Z$20,2,0),"??")&amp;"-"&amp;UPPER(SUBSTITUTE(D104," ",""))&amp;IF(E104&lt;&gt;"","-SP"&amp;TEXT(E104*1000,"0"),"")&amp;IF(F104&lt;&gt;"","-H"&amp;TEXT(F104*1000,"0"),"")&amp;"-"&amp;M104)</f>
        <v/>
      </c>
      <c r="B104" s="10" t="str">
        <f aca="false">IF(C104="","",C104&amp;" - "&amp;D104&amp;IF(E104&lt;&gt;"",", span "&amp;E104&amp;" m","")&amp;IF(F104&lt;&gt;"",", H "&amp;F104&amp;" m","")&amp;IF(G104&lt;&gt;"",", W "&amp;G104&amp;" m",""))</f>
        <v/>
      </c>
      <c r="C104" s="9"/>
      <c r="D104" s="9"/>
      <c r="E104" s="38"/>
      <c r="F104" s="38"/>
      <c r="G104" s="3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37"/>
      <c r="U104" s="38"/>
      <c r="V104" s="39"/>
      <c r="W104" s="39"/>
      <c r="X104" s="9"/>
      <c r="Y104" s="9"/>
      <c r="Z104" s="9"/>
      <c r="AA104" s="9"/>
      <c r="AB104" s="9"/>
      <c r="AC104" s="40"/>
    </row>
    <row r="105" customFormat="false" ht="15" hidden="false" customHeight="false" outlineLevel="0" collapsed="false">
      <c r="A105" s="10" t="str">
        <f aca="false">IF(C105="","",IFERROR(VLOOKUP(C105,Lists!$Y$4:$Z$20,2,0),"??")&amp;"-"&amp;UPPER(SUBSTITUTE(D105," ",""))&amp;IF(E105&lt;&gt;"","-SP"&amp;TEXT(E105*1000,"0"),"")&amp;IF(F105&lt;&gt;"","-H"&amp;TEXT(F105*1000,"0"),"")&amp;"-"&amp;M105)</f>
        <v/>
      </c>
      <c r="B105" s="10" t="str">
        <f aca="false">IF(C105="","",C105&amp;" - "&amp;D105&amp;IF(E105&lt;&gt;"",", span "&amp;E105&amp;" m","")&amp;IF(F105&lt;&gt;"",", H "&amp;F105&amp;" m","")&amp;IF(G105&lt;&gt;"",", W "&amp;G105&amp;" m",""))</f>
        <v/>
      </c>
      <c r="C105" s="9"/>
      <c r="D105" s="9"/>
      <c r="E105" s="38"/>
      <c r="F105" s="38"/>
      <c r="G105" s="3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37"/>
      <c r="U105" s="38"/>
      <c r="V105" s="39"/>
      <c r="W105" s="39"/>
      <c r="X105" s="9"/>
      <c r="Y105" s="9"/>
      <c r="Z105" s="9"/>
      <c r="AA105" s="9"/>
      <c r="AB105" s="9"/>
      <c r="AC105" s="40"/>
    </row>
    <row r="106" customFormat="false" ht="15" hidden="false" customHeight="false" outlineLevel="0" collapsed="false">
      <c r="A106" s="10" t="str">
        <f aca="false">IF(C106="","",IFERROR(VLOOKUP(C106,Lists!$Y$4:$Z$20,2,0),"??")&amp;"-"&amp;UPPER(SUBSTITUTE(D106," ",""))&amp;IF(E106&lt;&gt;"","-SP"&amp;TEXT(E106*1000,"0"),"")&amp;IF(F106&lt;&gt;"","-H"&amp;TEXT(F106*1000,"0"),"")&amp;"-"&amp;M106)</f>
        <v/>
      </c>
      <c r="B106" s="10" t="str">
        <f aca="false">IF(C106="","",C106&amp;" - "&amp;D106&amp;IF(E106&lt;&gt;"",", span "&amp;E106&amp;" m","")&amp;IF(F106&lt;&gt;"",", H "&amp;F106&amp;" m","")&amp;IF(G106&lt;&gt;"",", W "&amp;G106&amp;" m",""))</f>
        <v/>
      </c>
      <c r="C106" s="9"/>
      <c r="D106" s="9"/>
      <c r="E106" s="38"/>
      <c r="F106" s="38"/>
      <c r="G106" s="3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37"/>
      <c r="U106" s="38"/>
      <c r="V106" s="39"/>
      <c r="W106" s="39"/>
      <c r="X106" s="9"/>
      <c r="Y106" s="9"/>
      <c r="Z106" s="9"/>
      <c r="AA106" s="9"/>
      <c r="AB106" s="9"/>
      <c r="AC106" s="40"/>
    </row>
    <row r="107" customFormat="false" ht="15" hidden="false" customHeight="false" outlineLevel="0" collapsed="false">
      <c r="A107" s="10" t="str">
        <f aca="false">IF(C107="","",IFERROR(VLOOKUP(C107,Lists!$Y$4:$Z$20,2,0),"??")&amp;"-"&amp;UPPER(SUBSTITUTE(D107," ",""))&amp;IF(E107&lt;&gt;"","-SP"&amp;TEXT(E107*1000,"0"),"")&amp;IF(F107&lt;&gt;"","-H"&amp;TEXT(F107*1000,"0"),"")&amp;"-"&amp;M107)</f>
        <v/>
      </c>
      <c r="B107" s="10" t="str">
        <f aca="false">IF(C107="","",C107&amp;" - "&amp;D107&amp;IF(E107&lt;&gt;"",", span "&amp;E107&amp;" m","")&amp;IF(F107&lt;&gt;"",", H "&amp;F107&amp;" m","")&amp;IF(G107&lt;&gt;"",", W "&amp;G107&amp;" m",""))</f>
        <v/>
      </c>
      <c r="C107" s="9"/>
      <c r="D107" s="9"/>
      <c r="E107" s="38"/>
      <c r="F107" s="38"/>
      <c r="G107" s="3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37"/>
      <c r="U107" s="38"/>
      <c r="V107" s="39"/>
      <c r="W107" s="39"/>
      <c r="X107" s="9"/>
      <c r="Y107" s="9"/>
      <c r="Z107" s="9"/>
      <c r="AA107" s="9"/>
      <c r="AB107" s="9"/>
      <c r="AC107" s="40"/>
    </row>
    <row r="108" customFormat="false" ht="15" hidden="false" customHeight="false" outlineLevel="0" collapsed="false">
      <c r="A108" s="10" t="str">
        <f aca="false">IF(C108="","",IFERROR(VLOOKUP(C108,Lists!$Y$4:$Z$20,2,0),"??")&amp;"-"&amp;UPPER(SUBSTITUTE(D108," ",""))&amp;IF(E108&lt;&gt;"","-SP"&amp;TEXT(E108*1000,"0"),"")&amp;IF(F108&lt;&gt;"","-H"&amp;TEXT(F108*1000,"0"),"")&amp;"-"&amp;M108)</f>
        <v/>
      </c>
      <c r="B108" s="10" t="str">
        <f aca="false">IF(C108="","",C108&amp;" - "&amp;D108&amp;IF(E108&lt;&gt;"",", span "&amp;E108&amp;" m","")&amp;IF(F108&lt;&gt;"",", H "&amp;F108&amp;" m","")&amp;IF(G108&lt;&gt;"",", W "&amp;G108&amp;" m",""))</f>
        <v/>
      </c>
      <c r="C108" s="9"/>
      <c r="D108" s="9"/>
      <c r="E108" s="38"/>
      <c r="F108" s="38"/>
      <c r="G108" s="3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37"/>
      <c r="U108" s="38"/>
      <c r="V108" s="39"/>
      <c r="W108" s="39"/>
      <c r="X108" s="9"/>
      <c r="Y108" s="9"/>
      <c r="Z108" s="9"/>
      <c r="AA108" s="9"/>
      <c r="AB108" s="9"/>
      <c r="AC108" s="40"/>
    </row>
    <row r="109" customFormat="false" ht="15" hidden="false" customHeight="false" outlineLevel="0" collapsed="false">
      <c r="A109" s="10" t="str">
        <f aca="false">IF(C109="","",IFERROR(VLOOKUP(C109,Lists!$Y$4:$Z$20,2,0),"??")&amp;"-"&amp;UPPER(SUBSTITUTE(D109," ",""))&amp;IF(E109&lt;&gt;"","-SP"&amp;TEXT(E109*1000,"0"),"")&amp;IF(F109&lt;&gt;"","-H"&amp;TEXT(F109*1000,"0"),"")&amp;"-"&amp;M109)</f>
        <v/>
      </c>
      <c r="B109" s="10" t="str">
        <f aca="false">IF(C109="","",C109&amp;" - "&amp;D109&amp;IF(E109&lt;&gt;"",", span "&amp;E109&amp;" m","")&amp;IF(F109&lt;&gt;"",", H "&amp;F109&amp;" m","")&amp;IF(G109&lt;&gt;"",", W "&amp;G109&amp;" m",""))</f>
        <v/>
      </c>
      <c r="C109" s="9"/>
      <c r="D109" s="9"/>
      <c r="E109" s="38"/>
      <c r="F109" s="38"/>
      <c r="G109" s="3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37"/>
      <c r="U109" s="38"/>
      <c r="V109" s="39"/>
      <c r="W109" s="39"/>
      <c r="X109" s="9"/>
      <c r="Y109" s="9"/>
      <c r="Z109" s="9"/>
      <c r="AA109" s="9"/>
      <c r="AB109" s="9"/>
      <c r="AC109" s="40"/>
    </row>
    <row r="110" customFormat="false" ht="15" hidden="false" customHeight="false" outlineLevel="0" collapsed="false">
      <c r="A110" s="10" t="str">
        <f aca="false">IF(C110="","",IFERROR(VLOOKUP(C110,Lists!$Y$4:$Z$20,2,0),"??")&amp;"-"&amp;UPPER(SUBSTITUTE(D110," ",""))&amp;IF(E110&lt;&gt;"","-SP"&amp;TEXT(E110*1000,"0"),"")&amp;IF(F110&lt;&gt;"","-H"&amp;TEXT(F110*1000,"0"),"")&amp;"-"&amp;M110)</f>
        <v/>
      </c>
      <c r="B110" s="10" t="str">
        <f aca="false">IF(C110="","",C110&amp;" - "&amp;D110&amp;IF(E110&lt;&gt;"",", span "&amp;E110&amp;" m","")&amp;IF(F110&lt;&gt;"",", H "&amp;F110&amp;" m","")&amp;IF(G110&lt;&gt;"",", W "&amp;G110&amp;" m",""))</f>
        <v/>
      </c>
      <c r="C110" s="9"/>
      <c r="D110" s="9"/>
      <c r="E110" s="38"/>
      <c r="F110" s="38"/>
      <c r="G110" s="3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37"/>
      <c r="U110" s="38"/>
      <c r="V110" s="39"/>
      <c r="W110" s="39"/>
      <c r="X110" s="9"/>
      <c r="Y110" s="9"/>
      <c r="Z110" s="9"/>
      <c r="AA110" s="9"/>
      <c r="AB110" s="9"/>
      <c r="AC110" s="40"/>
    </row>
    <row r="111" customFormat="false" ht="15" hidden="false" customHeight="false" outlineLevel="0" collapsed="false">
      <c r="A111" s="10" t="str">
        <f aca="false">IF(C111="","",IFERROR(VLOOKUP(C111,Lists!$Y$4:$Z$20,2,0),"??")&amp;"-"&amp;UPPER(SUBSTITUTE(D111," ",""))&amp;IF(E111&lt;&gt;"","-SP"&amp;TEXT(E111*1000,"0"),"")&amp;IF(F111&lt;&gt;"","-H"&amp;TEXT(F111*1000,"0"),"")&amp;"-"&amp;M111)</f>
        <v/>
      </c>
      <c r="B111" s="10" t="str">
        <f aca="false">IF(C111="","",C111&amp;" - "&amp;D111&amp;IF(E111&lt;&gt;"",", span "&amp;E111&amp;" m","")&amp;IF(F111&lt;&gt;"",", H "&amp;F111&amp;" m","")&amp;IF(G111&lt;&gt;"",", W "&amp;G111&amp;" m",""))</f>
        <v/>
      </c>
      <c r="C111" s="9"/>
      <c r="D111" s="9"/>
      <c r="E111" s="38"/>
      <c r="F111" s="38"/>
      <c r="G111" s="3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37"/>
      <c r="U111" s="38"/>
      <c r="V111" s="39"/>
      <c r="W111" s="39"/>
      <c r="X111" s="9"/>
      <c r="Y111" s="9"/>
      <c r="Z111" s="9"/>
      <c r="AA111" s="9"/>
      <c r="AB111" s="9"/>
      <c r="AC111" s="40"/>
    </row>
    <row r="112" customFormat="false" ht="15" hidden="false" customHeight="false" outlineLevel="0" collapsed="false">
      <c r="A112" s="10" t="str">
        <f aca="false">IF(C112="","",IFERROR(VLOOKUP(C112,Lists!$Y$4:$Z$20,2,0),"??")&amp;"-"&amp;UPPER(SUBSTITUTE(D112," ",""))&amp;IF(E112&lt;&gt;"","-SP"&amp;TEXT(E112*1000,"0"),"")&amp;IF(F112&lt;&gt;"","-H"&amp;TEXT(F112*1000,"0"),"")&amp;"-"&amp;M112)</f>
        <v/>
      </c>
      <c r="B112" s="10" t="str">
        <f aca="false">IF(C112="","",C112&amp;" - "&amp;D112&amp;IF(E112&lt;&gt;"",", span "&amp;E112&amp;" m","")&amp;IF(F112&lt;&gt;"",", H "&amp;F112&amp;" m","")&amp;IF(G112&lt;&gt;"",", W "&amp;G112&amp;" m",""))</f>
        <v/>
      </c>
      <c r="C112" s="9"/>
      <c r="D112" s="9"/>
      <c r="E112" s="38"/>
      <c r="F112" s="38"/>
      <c r="G112" s="3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37"/>
      <c r="U112" s="38"/>
      <c r="V112" s="39"/>
      <c r="W112" s="39"/>
      <c r="X112" s="9"/>
      <c r="Y112" s="9"/>
      <c r="Z112" s="9"/>
      <c r="AA112" s="9"/>
      <c r="AB112" s="9"/>
      <c r="AC112" s="40"/>
    </row>
    <row r="113" customFormat="false" ht="15" hidden="false" customHeight="false" outlineLevel="0" collapsed="false">
      <c r="A113" s="10" t="str">
        <f aca="false">IF(C113="","",IFERROR(VLOOKUP(C113,Lists!$Y$4:$Z$20,2,0),"??")&amp;"-"&amp;UPPER(SUBSTITUTE(D113," ",""))&amp;IF(E113&lt;&gt;"","-SP"&amp;TEXT(E113*1000,"0"),"")&amp;IF(F113&lt;&gt;"","-H"&amp;TEXT(F113*1000,"0"),"")&amp;"-"&amp;M113)</f>
        <v/>
      </c>
      <c r="B113" s="10" t="str">
        <f aca="false">IF(C113="","",C113&amp;" - "&amp;D113&amp;IF(E113&lt;&gt;"",", span "&amp;E113&amp;" m","")&amp;IF(F113&lt;&gt;"",", H "&amp;F113&amp;" m","")&amp;IF(G113&lt;&gt;"",", W "&amp;G113&amp;" m",""))</f>
        <v/>
      </c>
      <c r="C113" s="9"/>
      <c r="D113" s="9"/>
      <c r="E113" s="38"/>
      <c r="F113" s="38"/>
      <c r="G113" s="3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37"/>
      <c r="U113" s="38"/>
      <c r="V113" s="39"/>
      <c r="W113" s="39"/>
      <c r="X113" s="9"/>
      <c r="Y113" s="9"/>
      <c r="Z113" s="9"/>
      <c r="AA113" s="9"/>
      <c r="AB113" s="9"/>
      <c r="AC113" s="40"/>
    </row>
    <row r="114" customFormat="false" ht="15" hidden="false" customHeight="false" outlineLevel="0" collapsed="false">
      <c r="A114" s="10" t="str">
        <f aca="false">IF(C114="","",IFERROR(VLOOKUP(C114,Lists!$Y$4:$Z$20,2,0),"??")&amp;"-"&amp;UPPER(SUBSTITUTE(D114," ",""))&amp;IF(E114&lt;&gt;"","-SP"&amp;TEXT(E114*1000,"0"),"")&amp;IF(F114&lt;&gt;"","-H"&amp;TEXT(F114*1000,"0"),"")&amp;"-"&amp;M114)</f>
        <v/>
      </c>
      <c r="B114" s="10" t="str">
        <f aca="false">IF(C114="","",C114&amp;" - "&amp;D114&amp;IF(E114&lt;&gt;"",", span "&amp;E114&amp;" m","")&amp;IF(F114&lt;&gt;"",", H "&amp;F114&amp;" m","")&amp;IF(G114&lt;&gt;"",", W "&amp;G114&amp;" m",""))</f>
        <v/>
      </c>
      <c r="C114" s="9"/>
      <c r="D114" s="9"/>
      <c r="E114" s="38"/>
      <c r="F114" s="38"/>
      <c r="G114" s="3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37"/>
      <c r="U114" s="38"/>
      <c r="V114" s="39"/>
      <c r="W114" s="39"/>
      <c r="X114" s="9"/>
      <c r="Y114" s="9"/>
      <c r="Z114" s="9"/>
      <c r="AA114" s="9"/>
      <c r="AB114" s="9"/>
      <c r="AC114" s="40"/>
    </row>
    <row r="115" customFormat="false" ht="15" hidden="false" customHeight="false" outlineLevel="0" collapsed="false">
      <c r="A115" s="10" t="str">
        <f aca="false">IF(C115="","",IFERROR(VLOOKUP(C115,Lists!$Y$4:$Z$20,2,0),"??")&amp;"-"&amp;UPPER(SUBSTITUTE(D115," ",""))&amp;IF(E115&lt;&gt;"","-SP"&amp;TEXT(E115*1000,"0"),"")&amp;IF(F115&lt;&gt;"","-H"&amp;TEXT(F115*1000,"0"),"")&amp;"-"&amp;M115)</f>
        <v/>
      </c>
      <c r="B115" s="10" t="str">
        <f aca="false">IF(C115="","",C115&amp;" - "&amp;D115&amp;IF(E115&lt;&gt;"",", span "&amp;E115&amp;" m","")&amp;IF(F115&lt;&gt;"",", H "&amp;F115&amp;" m","")&amp;IF(G115&lt;&gt;"",", W "&amp;G115&amp;" m",""))</f>
        <v/>
      </c>
      <c r="C115" s="9"/>
      <c r="D115" s="9"/>
      <c r="E115" s="38"/>
      <c r="F115" s="38"/>
      <c r="G115" s="3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37"/>
      <c r="U115" s="38"/>
      <c r="V115" s="39"/>
      <c r="W115" s="39"/>
      <c r="X115" s="9"/>
      <c r="Y115" s="9"/>
      <c r="Z115" s="9"/>
      <c r="AA115" s="9"/>
      <c r="AB115" s="9"/>
      <c r="AC115" s="40"/>
    </row>
    <row r="116" customFormat="false" ht="15" hidden="false" customHeight="false" outlineLevel="0" collapsed="false">
      <c r="A116" s="10" t="str">
        <f aca="false">IF(C116="","",IFERROR(VLOOKUP(C116,Lists!$Y$4:$Z$20,2,0),"??")&amp;"-"&amp;UPPER(SUBSTITUTE(D116," ",""))&amp;IF(E116&lt;&gt;"","-SP"&amp;TEXT(E116*1000,"0"),"")&amp;IF(F116&lt;&gt;"","-H"&amp;TEXT(F116*1000,"0"),"")&amp;"-"&amp;M116)</f>
        <v/>
      </c>
      <c r="B116" s="10" t="str">
        <f aca="false">IF(C116="","",C116&amp;" - "&amp;D116&amp;IF(E116&lt;&gt;"",", span "&amp;E116&amp;" m","")&amp;IF(F116&lt;&gt;"",", H "&amp;F116&amp;" m","")&amp;IF(G116&lt;&gt;"",", W "&amp;G116&amp;" m",""))</f>
        <v/>
      </c>
      <c r="C116" s="9"/>
      <c r="D116" s="9"/>
      <c r="E116" s="38"/>
      <c r="F116" s="38"/>
      <c r="G116" s="3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37"/>
      <c r="U116" s="38"/>
      <c r="V116" s="39"/>
      <c r="W116" s="39"/>
      <c r="X116" s="9"/>
      <c r="Y116" s="9"/>
      <c r="Z116" s="9"/>
      <c r="AA116" s="9"/>
      <c r="AB116" s="9"/>
      <c r="AC116" s="40"/>
    </row>
    <row r="117" customFormat="false" ht="15" hidden="false" customHeight="false" outlineLevel="0" collapsed="false">
      <c r="A117" s="10" t="str">
        <f aca="false">IF(C117="","",IFERROR(VLOOKUP(C117,Lists!$Y$4:$Z$20,2,0),"??")&amp;"-"&amp;UPPER(SUBSTITUTE(D117," ",""))&amp;IF(E117&lt;&gt;"","-SP"&amp;TEXT(E117*1000,"0"),"")&amp;IF(F117&lt;&gt;"","-H"&amp;TEXT(F117*1000,"0"),"")&amp;"-"&amp;M117)</f>
        <v/>
      </c>
      <c r="B117" s="10" t="str">
        <f aca="false">IF(C117="","",C117&amp;" - "&amp;D117&amp;IF(E117&lt;&gt;"",", span "&amp;E117&amp;" m","")&amp;IF(F117&lt;&gt;"",", H "&amp;F117&amp;" m","")&amp;IF(G117&lt;&gt;"",", W "&amp;G117&amp;" m",""))</f>
        <v/>
      </c>
      <c r="C117" s="9"/>
      <c r="D117" s="9"/>
      <c r="E117" s="38"/>
      <c r="F117" s="38"/>
      <c r="G117" s="3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37"/>
      <c r="U117" s="38"/>
      <c r="V117" s="39"/>
      <c r="W117" s="39"/>
      <c r="X117" s="9"/>
      <c r="Y117" s="9"/>
      <c r="Z117" s="9"/>
      <c r="AA117" s="9"/>
      <c r="AB117" s="9"/>
      <c r="AC117" s="40"/>
    </row>
    <row r="118" customFormat="false" ht="15" hidden="false" customHeight="false" outlineLevel="0" collapsed="false">
      <c r="A118" s="10" t="str">
        <f aca="false">IF(C118="","",IFERROR(VLOOKUP(C118,Lists!$Y$4:$Z$20,2,0),"??")&amp;"-"&amp;UPPER(SUBSTITUTE(D118," ",""))&amp;IF(E118&lt;&gt;"","-SP"&amp;TEXT(E118*1000,"0"),"")&amp;IF(F118&lt;&gt;"","-H"&amp;TEXT(F118*1000,"0"),"")&amp;"-"&amp;M118)</f>
        <v/>
      </c>
      <c r="B118" s="10" t="str">
        <f aca="false">IF(C118="","",C118&amp;" - "&amp;D118&amp;IF(E118&lt;&gt;"",", span "&amp;E118&amp;" m","")&amp;IF(F118&lt;&gt;"",", H "&amp;F118&amp;" m","")&amp;IF(G118&lt;&gt;"",", W "&amp;G118&amp;" m",""))</f>
        <v/>
      </c>
      <c r="C118" s="9"/>
      <c r="D118" s="9"/>
      <c r="E118" s="38"/>
      <c r="F118" s="38"/>
      <c r="G118" s="3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37"/>
      <c r="U118" s="38"/>
      <c r="V118" s="39"/>
      <c r="W118" s="39"/>
      <c r="X118" s="9"/>
      <c r="Y118" s="9"/>
      <c r="Z118" s="9"/>
      <c r="AA118" s="9"/>
      <c r="AB118" s="9"/>
      <c r="AC118" s="40"/>
    </row>
    <row r="119" customFormat="false" ht="15" hidden="false" customHeight="false" outlineLevel="0" collapsed="false">
      <c r="A119" s="10" t="str">
        <f aca="false">IF(C119="","",IFERROR(VLOOKUP(C119,Lists!$Y$4:$Z$20,2,0),"??")&amp;"-"&amp;UPPER(SUBSTITUTE(D119," ",""))&amp;IF(E119&lt;&gt;"","-SP"&amp;TEXT(E119*1000,"0"),"")&amp;IF(F119&lt;&gt;"","-H"&amp;TEXT(F119*1000,"0"),"")&amp;"-"&amp;M119)</f>
        <v/>
      </c>
      <c r="B119" s="10" t="str">
        <f aca="false">IF(C119="","",C119&amp;" - "&amp;D119&amp;IF(E119&lt;&gt;"",", span "&amp;E119&amp;" m","")&amp;IF(F119&lt;&gt;"",", H "&amp;F119&amp;" m","")&amp;IF(G119&lt;&gt;"",", W "&amp;G119&amp;" m",""))</f>
        <v/>
      </c>
      <c r="C119" s="9"/>
      <c r="D119" s="9"/>
      <c r="E119" s="38"/>
      <c r="F119" s="38"/>
      <c r="G119" s="3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37"/>
      <c r="U119" s="38"/>
      <c r="V119" s="39"/>
      <c r="W119" s="39"/>
      <c r="X119" s="9"/>
      <c r="Y119" s="9"/>
      <c r="Z119" s="9"/>
      <c r="AA119" s="9"/>
      <c r="AB119" s="9"/>
      <c r="AC119" s="40"/>
    </row>
    <row r="120" customFormat="false" ht="15" hidden="false" customHeight="false" outlineLevel="0" collapsed="false">
      <c r="A120" s="10" t="str">
        <f aca="false">IF(C120="","",IFERROR(VLOOKUP(C120,Lists!$Y$4:$Z$20,2,0),"??")&amp;"-"&amp;UPPER(SUBSTITUTE(D120," ",""))&amp;IF(E120&lt;&gt;"","-SP"&amp;TEXT(E120*1000,"0"),"")&amp;IF(F120&lt;&gt;"","-H"&amp;TEXT(F120*1000,"0"),"")&amp;"-"&amp;M120)</f>
        <v/>
      </c>
      <c r="B120" s="10" t="str">
        <f aca="false">IF(C120="","",C120&amp;" - "&amp;D120&amp;IF(E120&lt;&gt;"",", span "&amp;E120&amp;" m","")&amp;IF(F120&lt;&gt;"",", H "&amp;F120&amp;" m","")&amp;IF(G120&lt;&gt;"",", W "&amp;G120&amp;" m",""))</f>
        <v/>
      </c>
      <c r="C120" s="9"/>
      <c r="D120" s="9"/>
      <c r="E120" s="38"/>
      <c r="F120" s="38"/>
      <c r="G120" s="3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37"/>
      <c r="U120" s="38"/>
      <c r="V120" s="39"/>
      <c r="W120" s="39"/>
      <c r="X120" s="9"/>
      <c r="Y120" s="9"/>
      <c r="Z120" s="9"/>
      <c r="AA120" s="9"/>
      <c r="AB120" s="9"/>
      <c r="AC120" s="40"/>
    </row>
    <row r="121" customFormat="false" ht="15" hidden="false" customHeight="false" outlineLevel="0" collapsed="false">
      <c r="A121" s="10" t="str">
        <f aca="false">IF(C121="","",IFERROR(VLOOKUP(C121,Lists!$Y$4:$Z$20,2,0),"??")&amp;"-"&amp;UPPER(SUBSTITUTE(D121," ",""))&amp;IF(E121&lt;&gt;"","-SP"&amp;TEXT(E121*1000,"0"),"")&amp;IF(F121&lt;&gt;"","-H"&amp;TEXT(F121*1000,"0"),"")&amp;"-"&amp;M121)</f>
        <v/>
      </c>
      <c r="B121" s="10" t="str">
        <f aca="false">IF(C121="","",C121&amp;" - "&amp;D121&amp;IF(E121&lt;&gt;"",", span "&amp;E121&amp;" m","")&amp;IF(F121&lt;&gt;"",", H "&amp;F121&amp;" m","")&amp;IF(G121&lt;&gt;"",", W "&amp;G121&amp;" m",""))</f>
        <v/>
      </c>
      <c r="C121" s="9"/>
      <c r="D121" s="9"/>
      <c r="E121" s="38"/>
      <c r="F121" s="38"/>
      <c r="G121" s="3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37"/>
      <c r="U121" s="38"/>
      <c r="V121" s="39"/>
      <c r="W121" s="39"/>
      <c r="X121" s="9"/>
      <c r="Y121" s="9"/>
      <c r="Z121" s="9"/>
      <c r="AA121" s="9"/>
      <c r="AB121" s="9"/>
      <c r="AC121" s="40"/>
    </row>
    <row r="122" customFormat="false" ht="15" hidden="false" customHeight="false" outlineLevel="0" collapsed="false">
      <c r="A122" s="10" t="str">
        <f aca="false">IF(C122="","",IFERROR(VLOOKUP(C122,Lists!$Y$4:$Z$20,2,0),"??")&amp;"-"&amp;UPPER(SUBSTITUTE(D122," ",""))&amp;IF(E122&lt;&gt;"","-SP"&amp;TEXT(E122*1000,"0"),"")&amp;IF(F122&lt;&gt;"","-H"&amp;TEXT(F122*1000,"0"),"")&amp;"-"&amp;M122)</f>
        <v/>
      </c>
      <c r="B122" s="10" t="str">
        <f aca="false">IF(C122="","",C122&amp;" - "&amp;D122&amp;IF(E122&lt;&gt;"",", span "&amp;E122&amp;" m","")&amp;IF(F122&lt;&gt;"",", H "&amp;F122&amp;" m","")&amp;IF(G122&lt;&gt;"",", W "&amp;G122&amp;" m",""))</f>
        <v/>
      </c>
      <c r="C122" s="9"/>
      <c r="D122" s="9"/>
      <c r="E122" s="38"/>
      <c r="F122" s="38"/>
      <c r="G122" s="3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37"/>
      <c r="U122" s="38"/>
      <c r="V122" s="39"/>
      <c r="W122" s="39"/>
      <c r="X122" s="9"/>
      <c r="Y122" s="9"/>
      <c r="Z122" s="9"/>
      <c r="AA122" s="9"/>
      <c r="AB122" s="9"/>
      <c r="AC122" s="40"/>
    </row>
    <row r="123" customFormat="false" ht="15" hidden="false" customHeight="false" outlineLevel="0" collapsed="false">
      <c r="A123" s="10" t="str">
        <f aca="false">IF(C123="","",IFERROR(VLOOKUP(C123,Lists!$Y$4:$Z$20,2,0),"??")&amp;"-"&amp;UPPER(SUBSTITUTE(D123," ",""))&amp;IF(E123&lt;&gt;"","-SP"&amp;TEXT(E123*1000,"0"),"")&amp;IF(F123&lt;&gt;"","-H"&amp;TEXT(F123*1000,"0"),"")&amp;"-"&amp;M123)</f>
        <v/>
      </c>
      <c r="B123" s="10" t="str">
        <f aca="false">IF(C123="","",C123&amp;" - "&amp;D123&amp;IF(E123&lt;&gt;"",", span "&amp;E123&amp;" m","")&amp;IF(F123&lt;&gt;"",", H "&amp;F123&amp;" m","")&amp;IF(G123&lt;&gt;"",", W "&amp;G123&amp;" m",""))</f>
        <v/>
      </c>
      <c r="C123" s="9"/>
      <c r="D123" s="9"/>
      <c r="E123" s="38"/>
      <c r="F123" s="38"/>
      <c r="G123" s="3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37"/>
      <c r="U123" s="38"/>
      <c r="V123" s="39"/>
      <c r="W123" s="39"/>
      <c r="X123" s="9"/>
      <c r="Y123" s="9"/>
      <c r="Z123" s="9"/>
      <c r="AA123" s="9"/>
      <c r="AB123" s="9"/>
      <c r="AC123" s="40"/>
    </row>
    <row r="124" customFormat="false" ht="15" hidden="false" customHeight="false" outlineLevel="0" collapsed="false">
      <c r="A124" s="10" t="str">
        <f aca="false">IF(C124="","",IFERROR(VLOOKUP(C124,Lists!$Y$4:$Z$20,2,0),"??")&amp;"-"&amp;UPPER(SUBSTITUTE(D124," ",""))&amp;IF(E124&lt;&gt;"","-SP"&amp;TEXT(E124*1000,"0"),"")&amp;IF(F124&lt;&gt;"","-H"&amp;TEXT(F124*1000,"0"),"")&amp;"-"&amp;M124)</f>
        <v/>
      </c>
      <c r="B124" s="10" t="str">
        <f aca="false">IF(C124="","",C124&amp;" - "&amp;D124&amp;IF(E124&lt;&gt;"",", span "&amp;E124&amp;" m","")&amp;IF(F124&lt;&gt;"",", H "&amp;F124&amp;" m","")&amp;IF(G124&lt;&gt;"",", W "&amp;G124&amp;" m",""))</f>
        <v/>
      </c>
      <c r="C124" s="9"/>
      <c r="D124" s="9"/>
      <c r="E124" s="38"/>
      <c r="F124" s="38"/>
      <c r="G124" s="3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37"/>
      <c r="U124" s="38"/>
      <c r="V124" s="39"/>
      <c r="W124" s="39"/>
      <c r="X124" s="9"/>
      <c r="Y124" s="9"/>
      <c r="Z124" s="9"/>
      <c r="AA124" s="9"/>
      <c r="AB124" s="9"/>
      <c r="AC124" s="40"/>
    </row>
    <row r="125" customFormat="false" ht="15" hidden="false" customHeight="false" outlineLevel="0" collapsed="false">
      <c r="A125" s="10" t="str">
        <f aca="false">IF(C125="","",IFERROR(VLOOKUP(C125,Lists!$Y$4:$Z$20,2,0),"??")&amp;"-"&amp;UPPER(SUBSTITUTE(D125," ",""))&amp;IF(E125&lt;&gt;"","-SP"&amp;TEXT(E125*1000,"0"),"")&amp;IF(F125&lt;&gt;"","-H"&amp;TEXT(F125*1000,"0"),"")&amp;"-"&amp;M125)</f>
        <v/>
      </c>
      <c r="B125" s="10" t="str">
        <f aca="false">IF(C125="","",C125&amp;" - "&amp;D125&amp;IF(E125&lt;&gt;"",", span "&amp;E125&amp;" m","")&amp;IF(F125&lt;&gt;"",", H "&amp;F125&amp;" m","")&amp;IF(G125&lt;&gt;"",", W "&amp;G125&amp;" m",""))</f>
        <v/>
      </c>
      <c r="C125" s="9"/>
      <c r="D125" s="9"/>
      <c r="E125" s="38"/>
      <c r="F125" s="38"/>
      <c r="G125" s="3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37"/>
      <c r="U125" s="38"/>
      <c r="V125" s="39"/>
      <c r="W125" s="39"/>
      <c r="X125" s="9"/>
      <c r="Y125" s="9"/>
      <c r="Z125" s="9"/>
      <c r="AA125" s="9"/>
      <c r="AB125" s="9"/>
      <c r="AC125" s="40"/>
    </row>
    <row r="126" customFormat="false" ht="15" hidden="false" customHeight="false" outlineLevel="0" collapsed="false">
      <c r="A126" s="10" t="str">
        <f aca="false">IF(C126="","",IFERROR(VLOOKUP(C126,Lists!$Y$4:$Z$20,2,0),"??")&amp;"-"&amp;UPPER(SUBSTITUTE(D126," ",""))&amp;IF(E126&lt;&gt;"","-SP"&amp;TEXT(E126*1000,"0"),"")&amp;IF(F126&lt;&gt;"","-H"&amp;TEXT(F126*1000,"0"),"")&amp;"-"&amp;M126)</f>
        <v/>
      </c>
      <c r="B126" s="10" t="str">
        <f aca="false">IF(C126="","",C126&amp;" - "&amp;D126&amp;IF(E126&lt;&gt;"",", span "&amp;E126&amp;" m","")&amp;IF(F126&lt;&gt;"",", H "&amp;F126&amp;" m","")&amp;IF(G126&lt;&gt;"",", W "&amp;G126&amp;" m",""))</f>
        <v/>
      </c>
      <c r="C126" s="9"/>
      <c r="D126" s="9"/>
      <c r="E126" s="38"/>
      <c r="F126" s="38"/>
      <c r="G126" s="3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37"/>
      <c r="U126" s="38"/>
      <c r="V126" s="39"/>
      <c r="W126" s="39"/>
      <c r="X126" s="9"/>
      <c r="Y126" s="9"/>
      <c r="Z126" s="9"/>
      <c r="AA126" s="9"/>
      <c r="AB126" s="9"/>
      <c r="AC126" s="40"/>
    </row>
    <row r="127" customFormat="false" ht="15" hidden="false" customHeight="false" outlineLevel="0" collapsed="false">
      <c r="A127" s="10" t="str">
        <f aca="false">IF(C127="","",IFERROR(VLOOKUP(C127,Lists!$Y$4:$Z$20,2,0),"??")&amp;"-"&amp;UPPER(SUBSTITUTE(D127," ",""))&amp;IF(E127&lt;&gt;"","-SP"&amp;TEXT(E127*1000,"0"),"")&amp;IF(F127&lt;&gt;"","-H"&amp;TEXT(F127*1000,"0"),"")&amp;"-"&amp;M127)</f>
        <v/>
      </c>
      <c r="B127" s="10" t="str">
        <f aca="false">IF(C127="","",C127&amp;" - "&amp;D127&amp;IF(E127&lt;&gt;"",", span "&amp;E127&amp;" m","")&amp;IF(F127&lt;&gt;"",", H "&amp;F127&amp;" m","")&amp;IF(G127&lt;&gt;"",", W "&amp;G127&amp;" m",""))</f>
        <v/>
      </c>
      <c r="C127" s="9"/>
      <c r="D127" s="9"/>
      <c r="E127" s="38"/>
      <c r="F127" s="38"/>
      <c r="G127" s="3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37"/>
      <c r="U127" s="38"/>
      <c r="V127" s="39"/>
      <c r="W127" s="39"/>
      <c r="X127" s="9"/>
      <c r="Y127" s="9"/>
      <c r="Z127" s="9"/>
      <c r="AA127" s="9"/>
      <c r="AB127" s="9"/>
      <c r="AC127" s="40"/>
    </row>
    <row r="128" customFormat="false" ht="15" hidden="false" customHeight="false" outlineLevel="0" collapsed="false">
      <c r="A128" s="10" t="str">
        <f aca="false">IF(C128="","",IFERROR(VLOOKUP(C128,Lists!$Y$4:$Z$20,2,0),"??")&amp;"-"&amp;UPPER(SUBSTITUTE(D128," ",""))&amp;IF(E128&lt;&gt;"","-SP"&amp;TEXT(E128*1000,"0"),"")&amp;IF(F128&lt;&gt;"","-H"&amp;TEXT(F128*1000,"0"),"")&amp;"-"&amp;M128)</f>
        <v/>
      </c>
      <c r="B128" s="10" t="str">
        <f aca="false">IF(C128="","",C128&amp;" - "&amp;D128&amp;IF(E128&lt;&gt;"",", span "&amp;E128&amp;" m","")&amp;IF(F128&lt;&gt;"",", H "&amp;F128&amp;" m","")&amp;IF(G128&lt;&gt;"",", W "&amp;G128&amp;" m",""))</f>
        <v/>
      </c>
      <c r="C128" s="9"/>
      <c r="D128" s="9"/>
      <c r="E128" s="38"/>
      <c r="F128" s="38"/>
      <c r="G128" s="3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37"/>
      <c r="U128" s="38"/>
      <c r="V128" s="39"/>
      <c r="W128" s="39"/>
      <c r="X128" s="9"/>
      <c r="Y128" s="9"/>
      <c r="Z128" s="9"/>
      <c r="AA128" s="9"/>
      <c r="AB128" s="9"/>
      <c r="AC128" s="40"/>
    </row>
    <row r="129" customFormat="false" ht="15" hidden="false" customHeight="false" outlineLevel="0" collapsed="false">
      <c r="A129" s="10" t="str">
        <f aca="false">IF(C129="","",IFERROR(VLOOKUP(C129,Lists!$Y$4:$Z$20,2,0),"??")&amp;"-"&amp;UPPER(SUBSTITUTE(D129," ",""))&amp;IF(E129&lt;&gt;"","-SP"&amp;TEXT(E129*1000,"0"),"")&amp;IF(F129&lt;&gt;"","-H"&amp;TEXT(F129*1000,"0"),"")&amp;"-"&amp;M129)</f>
        <v/>
      </c>
      <c r="B129" s="10" t="str">
        <f aca="false">IF(C129="","",C129&amp;" - "&amp;D129&amp;IF(E129&lt;&gt;"",", span "&amp;E129&amp;" m","")&amp;IF(F129&lt;&gt;"",", H "&amp;F129&amp;" m","")&amp;IF(G129&lt;&gt;"",", W "&amp;G129&amp;" m",""))</f>
        <v/>
      </c>
      <c r="C129" s="9"/>
      <c r="D129" s="9"/>
      <c r="E129" s="38"/>
      <c r="F129" s="38"/>
      <c r="G129" s="3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37"/>
      <c r="U129" s="38"/>
      <c r="V129" s="39"/>
      <c r="W129" s="39"/>
      <c r="X129" s="9"/>
      <c r="Y129" s="9"/>
      <c r="Z129" s="9"/>
      <c r="AA129" s="9"/>
      <c r="AB129" s="9"/>
      <c r="AC129" s="40"/>
    </row>
    <row r="130" customFormat="false" ht="15" hidden="false" customHeight="false" outlineLevel="0" collapsed="false">
      <c r="A130" s="10" t="str">
        <f aca="false">IF(C130="","",IFERROR(VLOOKUP(C130,Lists!$Y$4:$Z$20,2,0),"??")&amp;"-"&amp;UPPER(SUBSTITUTE(D130," ",""))&amp;IF(E130&lt;&gt;"","-SP"&amp;TEXT(E130*1000,"0"),"")&amp;IF(F130&lt;&gt;"","-H"&amp;TEXT(F130*1000,"0"),"")&amp;"-"&amp;M130)</f>
        <v/>
      </c>
      <c r="B130" s="10" t="str">
        <f aca="false">IF(C130="","",C130&amp;" - "&amp;D130&amp;IF(E130&lt;&gt;"",", span "&amp;E130&amp;" m","")&amp;IF(F130&lt;&gt;"",", H "&amp;F130&amp;" m","")&amp;IF(G130&lt;&gt;"",", W "&amp;G130&amp;" m",""))</f>
        <v/>
      </c>
      <c r="C130" s="9"/>
      <c r="D130" s="9"/>
      <c r="E130" s="38"/>
      <c r="F130" s="38"/>
      <c r="G130" s="3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37"/>
      <c r="U130" s="38"/>
      <c r="V130" s="39"/>
      <c r="W130" s="39"/>
      <c r="X130" s="9"/>
      <c r="Y130" s="9"/>
      <c r="Z130" s="9"/>
      <c r="AA130" s="9"/>
      <c r="AB130" s="9"/>
      <c r="AC130" s="40"/>
    </row>
    <row r="131" customFormat="false" ht="15" hidden="false" customHeight="false" outlineLevel="0" collapsed="false">
      <c r="A131" s="10" t="str">
        <f aca="false">IF(C131="","",IFERROR(VLOOKUP(C131,Lists!$Y$4:$Z$20,2,0),"??")&amp;"-"&amp;UPPER(SUBSTITUTE(D131," ",""))&amp;IF(E131&lt;&gt;"","-SP"&amp;TEXT(E131*1000,"0"),"")&amp;IF(F131&lt;&gt;"","-H"&amp;TEXT(F131*1000,"0"),"")&amp;"-"&amp;M131)</f>
        <v/>
      </c>
      <c r="B131" s="10" t="str">
        <f aca="false">IF(C131="","",C131&amp;" - "&amp;D131&amp;IF(E131&lt;&gt;"",", span "&amp;E131&amp;" m","")&amp;IF(F131&lt;&gt;"",", H "&amp;F131&amp;" m","")&amp;IF(G131&lt;&gt;"",", W "&amp;G131&amp;" m",""))</f>
        <v/>
      </c>
      <c r="C131" s="9"/>
      <c r="D131" s="9"/>
      <c r="E131" s="38"/>
      <c r="F131" s="38"/>
      <c r="G131" s="3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37"/>
      <c r="U131" s="38"/>
      <c r="V131" s="39"/>
      <c r="W131" s="39"/>
      <c r="X131" s="9"/>
      <c r="Y131" s="9"/>
      <c r="Z131" s="9"/>
      <c r="AA131" s="9"/>
      <c r="AB131" s="9"/>
      <c r="AC131" s="40"/>
    </row>
    <row r="132" customFormat="false" ht="15" hidden="false" customHeight="false" outlineLevel="0" collapsed="false">
      <c r="A132" s="10" t="str">
        <f aca="false">IF(C132="","",IFERROR(VLOOKUP(C132,Lists!$Y$4:$Z$20,2,0),"??")&amp;"-"&amp;UPPER(SUBSTITUTE(D132," ",""))&amp;IF(E132&lt;&gt;"","-SP"&amp;TEXT(E132*1000,"0"),"")&amp;IF(F132&lt;&gt;"","-H"&amp;TEXT(F132*1000,"0"),"")&amp;"-"&amp;M132)</f>
        <v/>
      </c>
      <c r="B132" s="10" t="str">
        <f aca="false">IF(C132="","",C132&amp;" - "&amp;D132&amp;IF(E132&lt;&gt;"",", span "&amp;E132&amp;" m","")&amp;IF(F132&lt;&gt;"",", H "&amp;F132&amp;" m","")&amp;IF(G132&lt;&gt;"",", W "&amp;G132&amp;" m",""))</f>
        <v/>
      </c>
      <c r="C132" s="9"/>
      <c r="D132" s="9"/>
      <c r="E132" s="38"/>
      <c r="F132" s="38"/>
      <c r="G132" s="3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37"/>
      <c r="U132" s="38"/>
      <c r="V132" s="39"/>
      <c r="W132" s="39"/>
      <c r="X132" s="9"/>
      <c r="Y132" s="9"/>
      <c r="Z132" s="9"/>
      <c r="AA132" s="9"/>
      <c r="AB132" s="9"/>
      <c r="AC132" s="40"/>
    </row>
    <row r="133" customFormat="false" ht="15" hidden="false" customHeight="false" outlineLevel="0" collapsed="false">
      <c r="A133" s="10" t="str">
        <f aca="false">IF(C133="","",IFERROR(VLOOKUP(C133,Lists!$Y$4:$Z$20,2,0),"??")&amp;"-"&amp;UPPER(SUBSTITUTE(D133," ",""))&amp;IF(E133&lt;&gt;"","-SP"&amp;TEXT(E133*1000,"0"),"")&amp;IF(F133&lt;&gt;"","-H"&amp;TEXT(F133*1000,"0"),"")&amp;"-"&amp;M133)</f>
        <v/>
      </c>
      <c r="B133" s="10" t="str">
        <f aca="false">IF(C133="","",C133&amp;" - "&amp;D133&amp;IF(E133&lt;&gt;"",", span "&amp;E133&amp;" m","")&amp;IF(F133&lt;&gt;"",", H "&amp;F133&amp;" m","")&amp;IF(G133&lt;&gt;"",", W "&amp;G133&amp;" m",""))</f>
        <v/>
      </c>
      <c r="C133" s="9"/>
      <c r="D133" s="9"/>
      <c r="E133" s="38"/>
      <c r="F133" s="38"/>
      <c r="G133" s="3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37"/>
      <c r="U133" s="38"/>
      <c r="V133" s="39"/>
      <c r="W133" s="39"/>
      <c r="X133" s="9"/>
      <c r="Y133" s="9"/>
      <c r="Z133" s="9"/>
      <c r="AA133" s="9"/>
      <c r="AB133" s="9"/>
      <c r="AC133" s="40"/>
    </row>
    <row r="134" customFormat="false" ht="15" hidden="false" customHeight="false" outlineLevel="0" collapsed="false">
      <c r="A134" s="10" t="str">
        <f aca="false">IF(C134="","",IFERROR(VLOOKUP(C134,Lists!$Y$4:$Z$20,2,0),"??")&amp;"-"&amp;UPPER(SUBSTITUTE(D134," ",""))&amp;IF(E134&lt;&gt;"","-SP"&amp;TEXT(E134*1000,"0"),"")&amp;IF(F134&lt;&gt;"","-H"&amp;TEXT(F134*1000,"0"),"")&amp;"-"&amp;M134)</f>
        <v/>
      </c>
      <c r="B134" s="10" t="str">
        <f aca="false">IF(C134="","",C134&amp;" - "&amp;D134&amp;IF(E134&lt;&gt;"",", span "&amp;E134&amp;" m","")&amp;IF(F134&lt;&gt;"",", H "&amp;F134&amp;" m","")&amp;IF(G134&lt;&gt;"",", W "&amp;G134&amp;" m",""))</f>
        <v/>
      </c>
      <c r="C134" s="9"/>
      <c r="D134" s="9"/>
      <c r="E134" s="38"/>
      <c r="F134" s="38"/>
      <c r="G134" s="3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37"/>
      <c r="U134" s="38"/>
      <c r="V134" s="39"/>
      <c r="W134" s="39"/>
      <c r="X134" s="9"/>
      <c r="Y134" s="9"/>
      <c r="Z134" s="9"/>
      <c r="AA134" s="9"/>
      <c r="AB134" s="9"/>
      <c r="AC134" s="40"/>
    </row>
    <row r="135" customFormat="false" ht="15" hidden="false" customHeight="false" outlineLevel="0" collapsed="false">
      <c r="A135" s="10" t="str">
        <f aca="false">IF(C135="","",IFERROR(VLOOKUP(C135,Lists!$Y$4:$Z$20,2,0),"??")&amp;"-"&amp;UPPER(SUBSTITUTE(D135," ",""))&amp;IF(E135&lt;&gt;"","-SP"&amp;TEXT(E135*1000,"0"),"")&amp;IF(F135&lt;&gt;"","-H"&amp;TEXT(F135*1000,"0"),"")&amp;"-"&amp;M135)</f>
        <v/>
      </c>
      <c r="B135" s="10" t="str">
        <f aca="false">IF(C135="","",C135&amp;" - "&amp;D135&amp;IF(E135&lt;&gt;"",", span "&amp;E135&amp;" m","")&amp;IF(F135&lt;&gt;"",", H "&amp;F135&amp;" m","")&amp;IF(G135&lt;&gt;"",", W "&amp;G135&amp;" m",""))</f>
        <v/>
      </c>
      <c r="C135" s="9"/>
      <c r="D135" s="9"/>
      <c r="E135" s="38"/>
      <c r="F135" s="38"/>
      <c r="G135" s="3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37"/>
      <c r="U135" s="38"/>
      <c r="V135" s="39"/>
      <c r="W135" s="39"/>
      <c r="X135" s="9"/>
      <c r="Y135" s="9"/>
      <c r="Z135" s="9"/>
      <c r="AA135" s="9"/>
      <c r="AB135" s="9"/>
      <c r="AC135" s="40"/>
    </row>
    <row r="136" customFormat="false" ht="15" hidden="false" customHeight="false" outlineLevel="0" collapsed="false">
      <c r="A136" s="10" t="str">
        <f aca="false">IF(C136="","",IFERROR(VLOOKUP(C136,Lists!$Y$4:$Z$20,2,0),"??")&amp;"-"&amp;UPPER(SUBSTITUTE(D136," ",""))&amp;IF(E136&lt;&gt;"","-SP"&amp;TEXT(E136*1000,"0"),"")&amp;IF(F136&lt;&gt;"","-H"&amp;TEXT(F136*1000,"0"),"")&amp;"-"&amp;M136)</f>
        <v/>
      </c>
      <c r="B136" s="10" t="str">
        <f aca="false">IF(C136="","",C136&amp;" - "&amp;D136&amp;IF(E136&lt;&gt;"",", span "&amp;E136&amp;" m","")&amp;IF(F136&lt;&gt;"",", H "&amp;F136&amp;" m","")&amp;IF(G136&lt;&gt;"",", W "&amp;G136&amp;" m",""))</f>
        <v/>
      </c>
      <c r="C136" s="9"/>
      <c r="D136" s="9"/>
      <c r="E136" s="38"/>
      <c r="F136" s="38"/>
      <c r="G136" s="3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37"/>
      <c r="U136" s="38"/>
      <c r="V136" s="39"/>
      <c r="W136" s="39"/>
      <c r="X136" s="9"/>
      <c r="Y136" s="9"/>
      <c r="Z136" s="9"/>
      <c r="AA136" s="9"/>
      <c r="AB136" s="9"/>
      <c r="AC136" s="40"/>
    </row>
    <row r="137" customFormat="false" ht="15" hidden="false" customHeight="false" outlineLevel="0" collapsed="false">
      <c r="A137" s="10" t="str">
        <f aca="false">IF(C137="","",IFERROR(VLOOKUP(C137,Lists!$Y$4:$Z$20,2,0),"??")&amp;"-"&amp;UPPER(SUBSTITUTE(D137," ",""))&amp;IF(E137&lt;&gt;"","-SP"&amp;TEXT(E137*1000,"0"),"")&amp;IF(F137&lt;&gt;"","-H"&amp;TEXT(F137*1000,"0"),"")&amp;"-"&amp;M137)</f>
        <v/>
      </c>
      <c r="B137" s="10" t="str">
        <f aca="false">IF(C137="","",C137&amp;" - "&amp;D137&amp;IF(E137&lt;&gt;"",", span "&amp;E137&amp;" m","")&amp;IF(F137&lt;&gt;"",", H "&amp;F137&amp;" m","")&amp;IF(G137&lt;&gt;"",", W "&amp;G137&amp;" m",""))</f>
        <v/>
      </c>
      <c r="C137" s="9"/>
      <c r="D137" s="9"/>
      <c r="E137" s="38"/>
      <c r="F137" s="38"/>
      <c r="G137" s="3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37"/>
      <c r="U137" s="38"/>
      <c r="V137" s="39"/>
      <c r="W137" s="39"/>
      <c r="X137" s="9"/>
      <c r="Y137" s="9"/>
      <c r="Z137" s="9"/>
      <c r="AA137" s="9"/>
      <c r="AB137" s="9"/>
      <c r="AC137" s="40"/>
    </row>
    <row r="138" customFormat="false" ht="15" hidden="false" customHeight="false" outlineLevel="0" collapsed="false">
      <c r="A138" s="10" t="str">
        <f aca="false">IF(C138="","",IFERROR(VLOOKUP(C138,Lists!$Y$4:$Z$20,2,0),"??")&amp;"-"&amp;UPPER(SUBSTITUTE(D138," ",""))&amp;IF(E138&lt;&gt;"","-SP"&amp;TEXT(E138*1000,"0"),"")&amp;IF(F138&lt;&gt;"","-H"&amp;TEXT(F138*1000,"0"),"")&amp;"-"&amp;M138)</f>
        <v/>
      </c>
      <c r="B138" s="10" t="str">
        <f aca="false">IF(C138="","",C138&amp;" - "&amp;D138&amp;IF(E138&lt;&gt;"",", span "&amp;E138&amp;" m","")&amp;IF(F138&lt;&gt;"",", H "&amp;F138&amp;" m","")&amp;IF(G138&lt;&gt;"",", W "&amp;G138&amp;" m",""))</f>
        <v/>
      </c>
      <c r="C138" s="9"/>
      <c r="D138" s="9"/>
      <c r="E138" s="38"/>
      <c r="F138" s="38"/>
      <c r="G138" s="3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37"/>
      <c r="U138" s="38"/>
      <c r="V138" s="39"/>
      <c r="W138" s="39"/>
      <c r="X138" s="9"/>
      <c r="Y138" s="9"/>
      <c r="Z138" s="9"/>
      <c r="AA138" s="9"/>
      <c r="AB138" s="9"/>
      <c r="AC138" s="40"/>
    </row>
    <row r="139" customFormat="false" ht="15" hidden="false" customHeight="false" outlineLevel="0" collapsed="false">
      <c r="A139" s="10" t="str">
        <f aca="false">IF(C139="","",IFERROR(VLOOKUP(C139,Lists!$Y$4:$Z$20,2,0),"??")&amp;"-"&amp;UPPER(SUBSTITUTE(D139," ",""))&amp;IF(E139&lt;&gt;"","-SP"&amp;TEXT(E139*1000,"0"),"")&amp;IF(F139&lt;&gt;"","-H"&amp;TEXT(F139*1000,"0"),"")&amp;"-"&amp;M139)</f>
        <v/>
      </c>
      <c r="B139" s="10" t="str">
        <f aca="false">IF(C139="","",C139&amp;" - "&amp;D139&amp;IF(E139&lt;&gt;"",", span "&amp;E139&amp;" m","")&amp;IF(F139&lt;&gt;"",", H "&amp;F139&amp;" m","")&amp;IF(G139&lt;&gt;"",", W "&amp;G139&amp;" m",""))</f>
        <v/>
      </c>
      <c r="C139" s="9"/>
      <c r="D139" s="9"/>
      <c r="E139" s="38"/>
      <c r="F139" s="38"/>
      <c r="G139" s="3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37"/>
      <c r="U139" s="38"/>
      <c r="V139" s="39"/>
      <c r="W139" s="39"/>
      <c r="X139" s="9"/>
      <c r="Y139" s="9"/>
      <c r="Z139" s="9"/>
      <c r="AA139" s="9"/>
      <c r="AB139" s="9"/>
      <c r="AC139" s="40"/>
    </row>
    <row r="140" customFormat="false" ht="15" hidden="false" customHeight="false" outlineLevel="0" collapsed="false">
      <c r="A140" s="10" t="str">
        <f aca="false">IF(C140="","",IFERROR(VLOOKUP(C140,Lists!$Y$4:$Z$20,2,0),"??")&amp;"-"&amp;UPPER(SUBSTITUTE(D140," ",""))&amp;IF(E140&lt;&gt;"","-SP"&amp;TEXT(E140*1000,"0"),"")&amp;IF(F140&lt;&gt;"","-H"&amp;TEXT(F140*1000,"0"),"")&amp;"-"&amp;M140)</f>
        <v/>
      </c>
      <c r="B140" s="10" t="str">
        <f aca="false">IF(C140="","",C140&amp;" - "&amp;D140&amp;IF(E140&lt;&gt;"",", span "&amp;E140&amp;" m","")&amp;IF(F140&lt;&gt;"",", H "&amp;F140&amp;" m","")&amp;IF(G140&lt;&gt;"",", W "&amp;G140&amp;" m",""))</f>
        <v/>
      </c>
      <c r="C140" s="9"/>
      <c r="D140" s="9"/>
      <c r="E140" s="38"/>
      <c r="F140" s="38"/>
      <c r="G140" s="3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37"/>
      <c r="U140" s="38"/>
      <c r="V140" s="39"/>
      <c r="W140" s="39"/>
      <c r="X140" s="9"/>
      <c r="Y140" s="9"/>
      <c r="Z140" s="9"/>
      <c r="AA140" s="9"/>
      <c r="AB140" s="9"/>
      <c r="AC140" s="40"/>
    </row>
    <row r="141" customFormat="false" ht="15" hidden="false" customHeight="false" outlineLevel="0" collapsed="false">
      <c r="A141" s="10" t="str">
        <f aca="false">IF(C141="","",IFERROR(VLOOKUP(C141,Lists!$Y$4:$Z$20,2,0),"??")&amp;"-"&amp;UPPER(SUBSTITUTE(D141," ",""))&amp;IF(E141&lt;&gt;"","-SP"&amp;TEXT(E141*1000,"0"),"")&amp;IF(F141&lt;&gt;"","-H"&amp;TEXT(F141*1000,"0"),"")&amp;"-"&amp;M141)</f>
        <v/>
      </c>
      <c r="B141" s="10" t="str">
        <f aca="false">IF(C141="","",C141&amp;" - "&amp;D141&amp;IF(E141&lt;&gt;"",", span "&amp;E141&amp;" m","")&amp;IF(F141&lt;&gt;"",", H "&amp;F141&amp;" m","")&amp;IF(G141&lt;&gt;"",", W "&amp;G141&amp;" m",""))</f>
        <v/>
      </c>
      <c r="C141" s="9"/>
      <c r="D141" s="9"/>
      <c r="E141" s="38"/>
      <c r="F141" s="38"/>
      <c r="G141" s="3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37"/>
      <c r="U141" s="38"/>
      <c r="V141" s="39"/>
      <c r="W141" s="39"/>
      <c r="X141" s="9"/>
      <c r="Y141" s="9"/>
      <c r="Z141" s="9"/>
      <c r="AA141" s="9"/>
      <c r="AB141" s="9"/>
      <c r="AC141" s="40"/>
    </row>
    <row r="142" customFormat="false" ht="15" hidden="false" customHeight="false" outlineLevel="0" collapsed="false">
      <c r="A142" s="10" t="str">
        <f aca="false">IF(C142="","",IFERROR(VLOOKUP(C142,Lists!$Y$4:$Z$20,2,0),"??")&amp;"-"&amp;UPPER(SUBSTITUTE(D142," ",""))&amp;IF(E142&lt;&gt;"","-SP"&amp;TEXT(E142*1000,"0"),"")&amp;IF(F142&lt;&gt;"","-H"&amp;TEXT(F142*1000,"0"),"")&amp;"-"&amp;M142)</f>
        <v/>
      </c>
      <c r="B142" s="10" t="str">
        <f aca="false">IF(C142="","",C142&amp;" - "&amp;D142&amp;IF(E142&lt;&gt;"",", span "&amp;E142&amp;" m","")&amp;IF(F142&lt;&gt;"",", H "&amp;F142&amp;" m","")&amp;IF(G142&lt;&gt;"",", W "&amp;G142&amp;" m",""))</f>
        <v/>
      </c>
      <c r="C142" s="9"/>
      <c r="D142" s="9"/>
      <c r="E142" s="38"/>
      <c r="F142" s="38"/>
      <c r="G142" s="3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37"/>
      <c r="U142" s="38"/>
      <c r="V142" s="39"/>
      <c r="W142" s="39"/>
      <c r="X142" s="9"/>
      <c r="Y142" s="9"/>
      <c r="Z142" s="9"/>
      <c r="AA142" s="9"/>
      <c r="AB142" s="9"/>
      <c r="AC142" s="40"/>
    </row>
    <row r="143" customFormat="false" ht="15" hidden="false" customHeight="false" outlineLevel="0" collapsed="false">
      <c r="A143" s="10" t="str">
        <f aca="false">IF(C143="","",IFERROR(VLOOKUP(C143,Lists!$Y$4:$Z$20,2,0),"??")&amp;"-"&amp;UPPER(SUBSTITUTE(D143," ",""))&amp;IF(E143&lt;&gt;"","-SP"&amp;TEXT(E143*1000,"0"),"")&amp;IF(F143&lt;&gt;"","-H"&amp;TEXT(F143*1000,"0"),"")&amp;"-"&amp;M143)</f>
        <v/>
      </c>
      <c r="B143" s="10" t="str">
        <f aca="false">IF(C143="","",C143&amp;" - "&amp;D143&amp;IF(E143&lt;&gt;"",", span "&amp;E143&amp;" m","")&amp;IF(F143&lt;&gt;"",", H "&amp;F143&amp;" m","")&amp;IF(G143&lt;&gt;"",", W "&amp;G143&amp;" m",""))</f>
        <v/>
      </c>
      <c r="C143" s="9"/>
      <c r="D143" s="9"/>
      <c r="E143" s="38"/>
      <c r="F143" s="38"/>
      <c r="G143" s="3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37"/>
      <c r="U143" s="38"/>
      <c r="V143" s="39"/>
      <c r="W143" s="39"/>
      <c r="X143" s="9"/>
      <c r="Y143" s="9"/>
      <c r="Z143" s="9"/>
      <c r="AA143" s="9"/>
      <c r="AB143" s="9"/>
      <c r="AC143" s="40"/>
    </row>
    <row r="144" customFormat="false" ht="15" hidden="false" customHeight="false" outlineLevel="0" collapsed="false">
      <c r="A144" s="10" t="str">
        <f aca="false">IF(C144="","",IFERROR(VLOOKUP(C144,Lists!$Y$4:$Z$20,2,0),"??")&amp;"-"&amp;UPPER(SUBSTITUTE(D144," ",""))&amp;IF(E144&lt;&gt;"","-SP"&amp;TEXT(E144*1000,"0"),"")&amp;IF(F144&lt;&gt;"","-H"&amp;TEXT(F144*1000,"0"),"")&amp;"-"&amp;M144)</f>
        <v/>
      </c>
      <c r="B144" s="10" t="str">
        <f aca="false">IF(C144="","",C144&amp;" - "&amp;D144&amp;IF(E144&lt;&gt;"",", span "&amp;E144&amp;" m","")&amp;IF(F144&lt;&gt;"",", H "&amp;F144&amp;" m","")&amp;IF(G144&lt;&gt;"",", W "&amp;G144&amp;" m",""))</f>
        <v/>
      </c>
      <c r="C144" s="9"/>
      <c r="D144" s="9"/>
      <c r="E144" s="38"/>
      <c r="F144" s="38"/>
      <c r="G144" s="3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37"/>
      <c r="U144" s="38"/>
      <c r="V144" s="39"/>
      <c r="W144" s="39"/>
      <c r="X144" s="9"/>
      <c r="Y144" s="9"/>
      <c r="Z144" s="9"/>
      <c r="AA144" s="9"/>
      <c r="AB144" s="9"/>
      <c r="AC144" s="40"/>
    </row>
    <row r="145" customFormat="false" ht="15" hidden="false" customHeight="false" outlineLevel="0" collapsed="false">
      <c r="A145" s="10" t="str">
        <f aca="false">IF(C145="","",IFERROR(VLOOKUP(C145,Lists!$Y$4:$Z$20,2,0),"??")&amp;"-"&amp;UPPER(SUBSTITUTE(D145," ",""))&amp;IF(E145&lt;&gt;"","-SP"&amp;TEXT(E145*1000,"0"),"")&amp;IF(F145&lt;&gt;"","-H"&amp;TEXT(F145*1000,"0"),"")&amp;"-"&amp;M145)</f>
        <v/>
      </c>
      <c r="B145" s="10" t="str">
        <f aca="false">IF(C145="","",C145&amp;" - "&amp;D145&amp;IF(E145&lt;&gt;"",", span "&amp;E145&amp;" m","")&amp;IF(F145&lt;&gt;"",", H "&amp;F145&amp;" m","")&amp;IF(G145&lt;&gt;"",", W "&amp;G145&amp;" m",""))</f>
        <v/>
      </c>
      <c r="C145" s="9"/>
      <c r="D145" s="9"/>
      <c r="E145" s="38"/>
      <c r="F145" s="38"/>
      <c r="G145" s="3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37"/>
      <c r="U145" s="38"/>
      <c r="V145" s="39"/>
      <c r="W145" s="39"/>
      <c r="X145" s="9"/>
      <c r="Y145" s="9"/>
      <c r="Z145" s="9"/>
      <c r="AA145" s="9"/>
      <c r="AB145" s="9"/>
      <c r="AC145" s="40"/>
    </row>
    <row r="146" customFormat="false" ht="15" hidden="false" customHeight="false" outlineLevel="0" collapsed="false">
      <c r="A146" s="10" t="str">
        <f aca="false">IF(C146="","",IFERROR(VLOOKUP(C146,Lists!$Y$4:$Z$20,2,0),"??")&amp;"-"&amp;UPPER(SUBSTITUTE(D146," ",""))&amp;IF(E146&lt;&gt;"","-SP"&amp;TEXT(E146*1000,"0"),"")&amp;IF(F146&lt;&gt;"","-H"&amp;TEXT(F146*1000,"0"),"")&amp;"-"&amp;M146)</f>
        <v/>
      </c>
      <c r="B146" s="10" t="str">
        <f aca="false">IF(C146="","",C146&amp;" - "&amp;D146&amp;IF(E146&lt;&gt;"",", span "&amp;E146&amp;" m","")&amp;IF(F146&lt;&gt;"",", H "&amp;F146&amp;" m","")&amp;IF(G146&lt;&gt;"",", W "&amp;G146&amp;" m",""))</f>
        <v/>
      </c>
      <c r="C146" s="9"/>
      <c r="D146" s="9"/>
      <c r="E146" s="38"/>
      <c r="F146" s="38"/>
      <c r="G146" s="3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37"/>
      <c r="U146" s="38"/>
      <c r="V146" s="39"/>
      <c r="W146" s="39"/>
      <c r="X146" s="9"/>
      <c r="Y146" s="9"/>
      <c r="Z146" s="9"/>
      <c r="AA146" s="9"/>
      <c r="AB146" s="9"/>
      <c r="AC146" s="40"/>
    </row>
    <row r="147" customFormat="false" ht="15" hidden="false" customHeight="false" outlineLevel="0" collapsed="false">
      <c r="A147" s="10" t="str">
        <f aca="false">IF(C147="","",IFERROR(VLOOKUP(C147,Lists!$Y$4:$Z$20,2,0),"??")&amp;"-"&amp;UPPER(SUBSTITUTE(D147," ",""))&amp;IF(E147&lt;&gt;"","-SP"&amp;TEXT(E147*1000,"0"),"")&amp;IF(F147&lt;&gt;"","-H"&amp;TEXT(F147*1000,"0"),"")&amp;"-"&amp;M147)</f>
        <v/>
      </c>
      <c r="B147" s="10" t="str">
        <f aca="false">IF(C147="","",C147&amp;" - "&amp;D147&amp;IF(E147&lt;&gt;"",", span "&amp;E147&amp;" m","")&amp;IF(F147&lt;&gt;"",", H "&amp;F147&amp;" m","")&amp;IF(G147&lt;&gt;"",", W "&amp;G147&amp;" m",""))</f>
        <v/>
      </c>
      <c r="C147" s="9"/>
      <c r="D147" s="9"/>
      <c r="E147" s="38"/>
      <c r="F147" s="38"/>
      <c r="G147" s="3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37"/>
      <c r="U147" s="38"/>
      <c r="V147" s="39"/>
      <c r="W147" s="39"/>
      <c r="X147" s="9"/>
      <c r="Y147" s="9"/>
      <c r="Z147" s="9"/>
      <c r="AA147" s="9"/>
      <c r="AB147" s="9"/>
      <c r="AC147" s="40"/>
    </row>
    <row r="148" customFormat="false" ht="15" hidden="false" customHeight="false" outlineLevel="0" collapsed="false">
      <c r="A148" s="10" t="str">
        <f aca="false">IF(C148="","",IFERROR(VLOOKUP(C148,Lists!$Y$4:$Z$20,2,0),"??")&amp;"-"&amp;UPPER(SUBSTITUTE(D148," ",""))&amp;IF(E148&lt;&gt;"","-SP"&amp;TEXT(E148*1000,"0"),"")&amp;IF(F148&lt;&gt;"","-H"&amp;TEXT(F148*1000,"0"),"")&amp;"-"&amp;M148)</f>
        <v/>
      </c>
      <c r="B148" s="10" t="str">
        <f aca="false">IF(C148="","",C148&amp;" - "&amp;D148&amp;IF(E148&lt;&gt;"",", span "&amp;E148&amp;" m","")&amp;IF(F148&lt;&gt;"",", H "&amp;F148&amp;" m","")&amp;IF(G148&lt;&gt;"",", W "&amp;G148&amp;" m",""))</f>
        <v/>
      </c>
      <c r="C148" s="9"/>
      <c r="D148" s="9"/>
      <c r="E148" s="38"/>
      <c r="F148" s="38"/>
      <c r="G148" s="3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37"/>
      <c r="U148" s="38"/>
      <c r="V148" s="39"/>
      <c r="W148" s="39"/>
      <c r="X148" s="9"/>
      <c r="Y148" s="9"/>
      <c r="Z148" s="9"/>
      <c r="AA148" s="9"/>
      <c r="AB148" s="9"/>
      <c r="AC148" s="40"/>
    </row>
    <row r="149" customFormat="false" ht="15" hidden="false" customHeight="false" outlineLevel="0" collapsed="false">
      <c r="A149" s="10" t="str">
        <f aca="false">IF(C149="","",IFERROR(VLOOKUP(C149,Lists!$Y$4:$Z$20,2,0),"??")&amp;"-"&amp;UPPER(SUBSTITUTE(D149," ",""))&amp;IF(E149&lt;&gt;"","-SP"&amp;TEXT(E149*1000,"0"),"")&amp;IF(F149&lt;&gt;"","-H"&amp;TEXT(F149*1000,"0"),"")&amp;"-"&amp;M149)</f>
        <v/>
      </c>
      <c r="B149" s="10" t="str">
        <f aca="false">IF(C149="","",C149&amp;" - "&amp;D149&amp;IF(E149&lt;&gt;"",", span "&amp;E149&amp;" m","")&amp;IF(F149&lt;&gt;"",", H "&amp;F149&amp;" m","")&amp;IF(G149&lt;&gt;"",", W "&amp;G149&amp;" m",""))</f>
        <v/>
      </c>
      <c r="C149" s="9"/>
      <c r="D149" s="9"/>
      <c r="E149" s="38"/>
      <c r="F149" s="38"/>
      <c r="G149" s="3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37"/>
      <c r="U149" s="38"/>
      <c r="V149" s="39"/>
      <c r="W149" s="39"/>
      <c r="X149" s="9"/>
      <c r="Y149" s="9"/>
      <c r="Z149" s="9"/>
      <c r="AA149" s="9"/>
      <c r="AB149" s="9"/>
      <c r="AC149" s="40"/>
    </row>
    <row r="150" customFormat="false" ht="15" hidden="false" customHeight="false" outlineLevel="0" collapsed="false">
      <c r="A150" s="10" t="str">
        <f aca="false">IF(C150="","",IFERROR(VLOOKUP(C150,Lists!$Y$4:$Z$20,2,0),"??")&amp;"-"&amp;UPPER(SUBSTITUTE(D150," ",""))&amp;IF(E150&lt;&gt;"","-SP"&amp;TEXT(E150*1000,"0"),"")&amp;IF(F150&lt;&gt;"","-H"&amp;TEXT(F150*1000,"0"),"")&amp;"-"&amp;M150)</f>
        <v/>
      </c>
      <c r="B150" s="10" t="str">
        <f aca="false">IF(C150="","",C150&amp;" - "&amp;D150&amp;IF(E150&lt;&gt;"",", span "&amp;E150&amp;" m","")&amp;IF(F150&lt;&gt;"",", H "&amp;F150&amp;" m","")&amp;IF(G150&lt;&gt;"",", W "&amp;G150&amp;" m",""))</f>
        <v/>
      </c>
      <c r="C150" s="9"/>
      <c r="D150" s="9"/>
      <c r="E150" s="38"/>
      <c r="F150" s="38"/>
      <c r="G150" s="3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37"/>
      <c r="U150" s="38"/>
      <c r="V150" s="39"/>
      <c r="W150" s="39"/>
      <c r="X150" s="9"/>
      <c r="Y150" s="9"/>
      <c r="Z150" s="9"/>
      <c r="AA150" s="9"/>
      <c r="AB150" s="9"/>
      <c r="AC150" s="40"/>
    </row>
    <row r="151" customFormat="false" ht="15" hidden="false" customHeight="false" outlineLevel="0" collapsed="false">
      <c r="A151" s="10" t="str">
        <f aca="false">IF(C151="","",IFERROR(VLOOKUP(C151,Lists!$Y$4:$Z$20,2,0),"??")&amp;"-"&amp;UPPER(SUBSTITUTE(D151," ",""))&amp;IF(E151&lt;&gt;"","-SP"&amp;TEXT(E151*1000,"0"),"")&amp;IF(F151&lt;&gt;"","-H"&amp;TEXT(F151*1000,"0"),"")&amp;"-"&amp;M151)</f>
        <v/>
      </c>
      <c r="B151" s="10" t="str">
        <f aca="false">IF(C151="","",C151&amp;" - "&amp;D151&amp;IF(E151&lt;&gt;"",", span "&amp;E151&amp;" m","")&amp;IF(F151&lt;&gt;"",", H "&amp;F151&amp;" m","")&amp;IF(G151&lt;&gt;"",", W "&amp;G151&amp;" m",""))</f>
        <v/>
      </c>
      <c r="C151" s="9"/>
      <c r="D151" s="9"/>
      <c r="E151" s="38"/>
      <c r="F151" s="38"/>
      <c r="G151" s="3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37"/>
      <c r="U151" s="38"/>
      <c r="V151" s="39"/>
      <c r="W151" s="39"/>
      <c r="X151" s="9"/>
      <c r="Y151" s="9"/>
      <c r="Z151" s="9"/>
      <c r="AA151" s="9"/>
      <c r="AB151" s="9"/>
      <c r="AC151" s="40"/>
    </row>
    <row r="152" customFormat="false" ht="15" hidden="false" customHeight="false" outlineLevel="0" collapsed="false">
      <c r="A152" s="10" t="str">
        <f aca="false">IF(C152="","",IFERROR(VLOOKUP(C152,Lists!$Y$4:$Z$20,2,0),"??")&amp;"-"&amp;UPPER(SUBSTITUTE(D152," ",""))&amp;IF(E152&lt;&gt;"","-SP"&amp;TEXT(E152*1000,"0"),"")&amp;IF(F152&lt;&gt;"","-H"&amp;TEXT(F152*1000,"0"),"")&amp;"-"&amp;M152)</f>
        <v/>
      </c>
      <c r="B152" s="10" t="str">
        <f aca="false">IF(C152="","",C152&amp;" - "&amp;D152&amp;IF(E152&lt;&gt;"",", span "&amp;E152&amp;" m","")&amp;IF(F152&lt;&gt;"",", H "&amp;F152&amp;" m","")&amp;IF(G152&lt;&gt;"",", W "&amp;G152&amp;" m",""))</f>
        <v/>
      </c>
      <c r="C152" s="9"/>
      <c r="D152" s="9"/>
      <c r="E152" s="38"/>
      <c r="F152" s="38"/>
      <c r="G152" s="3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37"/>
      <c r="U152" s="38"/>
      <c r="V152" s="39"/>
      <c r="W152" s="39"/>
      <c r="X152" s="9"/>
      <c r="Y152" s="9"/>
      <c r="Z152" s="9"/>
      <c r="AA152" s="9"/>
      <c r="AB152" s="9"/>
      <c r="AC152" s="40"/>
    </row>
    <row r="153" customFormat="false" ht="15" hidden="false" customHeight="false" outlineLevel="0" collapsed="false">
      <c r="A153" s="10" t="str">
        <f aca="false">IF(C153="","",IFERROR(VLOOKUP(C153,Lists!$Y$4:$Z$20,2,0),"??")&amp;"-"&amp;UPPER(SUBSTITUTE(D153," ",""))&amp;IF(E153&lt;&gt;"","-SP"&amp;TEXT(E153*1000,"0"),"")&amp;IF(F153&lt;&gt;"","-H"&amp;TEXT(F153*1000,"0"),"")&amp;"-"&amp;M153)</f>
        <v/>
      </c>
      <c r="B153" s="10" t="str">
        <f aca="false">IF(C153="","",C153&amp;" - "&amp;D153&amp;IF(E153&lt;&gt;"",", span "&amp;E153&amp;" m","")&amp;IF(F153&lt;&gt;"",", H "&amp;F153&amp;" m","")&amp;IF(G153&lt;&gt;"",", W "&amp;G153&amp;" m",""))</f>
        <v/>
      </c>
      <c r="C153" s="9"/>
      <c r="D153" s="9"/>
      <c r="E153" s="38"/>
      <c r="F153" s="38"/>
      <c r="G153" s="3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37"/>
      <c r="U153" s="38"/>
      <c r="V153" s="39"/>
      <c r="W153" s="39"/>
      <c r="X153" s="9"/>
      <c r="Y153" s="9"/>
      <c r="Z153" s="9"/>
      <c r="AA153" s="9"/>
      <c r="AB153" s="9"/>
      <c r="AC153" s="40"/>
    </row>
    <row r="154" customFormat="false" ht="15" hidden="false" customHeight="false" outlineLevel="0" collapsed="false">
      <c r="A154" s="10" t="str">
        <f aca="false">IF(C154="","",IFERROR(VLOOKUP(C154,Lists!$Y$4:$Z$20,2,0),"??")&amp;"-"&amp;UPPER(SUBSTITUTE(D154," ",""))&amp;IF(E154&lt;&gt;"","-SP"&amp;TEXT(E154*1000,"0"),"")&amp;IF(F154&lt;&gt;"","-H"&amp;TEXT(F154*1000,"0"),"")&amp;"-"&amp;M154)</f>
        <v/>
      </c>
      <c r="B154" s="10" t="str">
        <f aca="false">IF(C154="","",C154&amp;" - "&amp;D154&amp;IF(E154&lt;&gt;"",", span "&amp;E154&amp;" m","")&amp;IF(F154&lt;&gt;"",", H "&amp;F154&amp;" m","")&amp;IF(G154&lt;&gt;"",", W "&amp;G154&amp;" m",""))</f>
        <v/>
      </c>
      <c r="C154" s="9"/>
      <c r="D154" s="9"/>
      <c r="E154" s="38"/>
      <c r="F154" s="38"/>
      <c r="G154" s="3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37"/>
      <c r="U154" s="38"/>
      <c r="V154" s="39"/>
      <c r="W154" s="39"/>
      <c r="X154" s="9"/>
      <c r="Y154" s="9"/>
      <c r="Z154" s="9"/>
      <c r="AA154" s="9"/>
      <c r="AB154" s="9"/>
      <c r="AC154" s="40"/>
    </row>
    <row r="155" customFormat="false" ht="15" hidden="false" customHeight="false" outlineLevel="0" collapsed="false">
      <c r="A155" s="10" t="str">
        <f aca="false">IF(C155="","",IFERROR(VLOOKUP(C155,Lists!$Y$4:$Z$20,2,0),"??")&amp;"-"&amp;UPPER(SUBSTITUTE(D155," ",""))&amp;IF(E155&lt;&gt;"","-SP"&amp;TEXT(E155*1000,"0"),"")&amp;IF(F155&lt;&gt;"","-H"&amp;TEXT(F155*1000,"0"),"")&amp;"-"&amp;M155)</f>
        <v/>
      </c>
      <c r="B155" s="10" t="str">
        <f aca="false">IF(C155="","",C155&amp;" - "&amp;D155&amp;IF(E155&lt;&gt;"",", span "&amp;E155&amp;" m","")&amp;IF(F155&lt;&gt;"",", H "&amp;F155&amp;" m","")&amp;IF(G155&lt;&gt;"",", W "&amp;G155&amp;" m",""))</f>
        <v/>
      </c>
      <c r="C155" s="9"/>
      <c r="D155" s="9"/>
      <c r="E155" s="38"/>
      <c r="F155" s="38"/>
      <c r="G155" s="3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37"/>
      <c r="U155" s="38"/>
      <c r="V155" s="39"/>
      <c r="W155" s="39"/>
      <c r="X155" s="9"/>
      <c r="Y155" s="9"/>
      <c r="Z155" s="9"/>
      <c r="AA155" s="9"/>
      <c r="AB155" s="9"/>
      <c r="AC155" s="40"/>
    </row>
    <row r="156" customFormat="false" ht="15" hidden="false" customHeight="false" outlineLevel="0" collapsed="false">
      <c r="A156" s="10" t="str">
        <f aca="false">IF(C156="","",IFERROR(VLOOKUP(C156,Lists!$Y$4:$Z$20,2,0),"??")&amp;"-"&amp;UPPER(SUBSTITUTE(D156," ",""))&amp;IF(E156&lt;&gt;"","-SP"&amp;TEXT(E156*1000,"0"),"")&amp;IF(F156&lt;&gt;"","-H"&amp;TEXT(F156*1000,"0"),"")&amp;"-"&amp;M156)</f>
        <v/>
      </c>
      <c r="B156" s="10" t="str">
        <f aca="false">IF(C156="","",C156&amp;" - "&amp;D156&amp;IF(E156&lt;&gt;"",", span "&amp;E156&amp;" m","")&amp;IF(F156&lt;&gt;"",", H "&amp;F156&amp;" m","")&amp;IF(G156&lt;&gt;"",", W "&amp;G156&amp;" m",""))</f>
        <v/>
      </c>
      <c r="C156" s="9"/>
      <c r="D156" s="9"/>
      <c r="E156" s="38"/>
      <c r="F156" s="38"/>
      <c r="G156" s="3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37"/>
      <c r="U156" s="38"/>
      <c r="V156" s="39"/>
      <c r="W156" s="39"/>
      <c r="X156" s="9"/>
      <c r="Y156" s="9"/>
      <c r="Z156" s="9"/>
      <c r="AA156" s="9"/>
      <c r="AB156" s="9"/>
      <c r="AC156" s="40"/>
    </row>
    <row r="157" customFormat="false" ht="15" hidden="false" customHeight="false" outlineLevel="0" collapsed="false">
      <c r="A157" s="10" t="str">
        <f aca="false">IF(C157="","",IFERROR(VLOOKUP(C157,Lists!$Y$4:$Z$20,2,0),"??")&amp;"-"&amp;UPPER(SUBSTITUTE(D157," ",""))&amp;IF(E157&lt;&gt;"","-SP"&amp;TEXT(E157*1000,"0"),"")&amp;IF(F157&lt;&gt;"","-H"&amp;TEXT(F157*1000,"0"),"")&amp;"-"&amp;M157)</f>
        <v/>
      </c>
      <c r="B157" s="10" t="str">
        <f aca="false">IF(C157="","",C157&amp;" - "&amp;D157&amp;IF(E157&lt;&gt;"",", span "&amp;E157&amp;" m","")&amp;IF(F157&lt;&gt;"",", H "&amp;F157&amp;" m","")&amp;IF(G157&lt;&gt;"",", W "&amp;G157&amp;" m",""))</f>
        <v/>
      </c>
      <c r="C157" s="9"/>
      <c r="D157" s="9"/>
      <c r="E157" s="38"/>
      <c r="F157" s="38"/>
      <c r="G157" s="3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37"/>
      <c r="U157" s="38"/>
      <c r="V157" s="39"/>
      <c r="W157" s="39"/>
      <c r="X157" s="9"/>
      <c r="Y157" s="9"/>
      <c r="Z157" s="9"/>
      <c r="AA157" s="9"/>
      <c r="AB157" s="9"/>
      <c r="AC157" s="40"/>
    </row>
    <row r="158" customFormat="false" ht="15" hidden="false" customHeight="false" outlineLevel="0" collapsed="false">
      <c r="A158" s="10" t="str">
        <f aca="false">IF(C158="","",IFERROR(VLOOKUP(C158,Lists!$Y$4:$Z$20,2,0),"??")&amp;"-"&amp;UPPER(SUBSTITUTE(D158," ",""))&amp;IF(E158&lt;&gt;"","-SP"&amp;TEXT(E158*1000,"0"),"")&amp;IF(F158&lt;&gt;"","-H"&amp;TEXT(F158*1000,"0"),"")&amp;"-"&amp;M158)</f>
        <v/>
      </c>
      <c r="B158" s="10" t="str">
        <f aca="false">IF(C158="","",C158&amp;" - "&amp;D158&amp;IF(E158&lt;&gt;"",", span "&amp;E158&amp;" m","")&amp;IF(F158&lt;&gt;"",", H "&amp;F158&amp;" m","")&amp;IF(G158&lt;&gt;"",", W "&amp;G158&amp;" m",""))</f>
        <v/>
      </c>
      <c r="C158" s="9"/>
      <c r="D158" s="9"/>
      <c r="E158" s="38"/>
      <c r="F158" s="38"/>
      <c r="G158" s="3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37"/>
      <c r="U158" s="38"/>
      <c r="V158" s="39"/>
      <c r="W158" s="39"/>
      <c r="X158" s="9"/>
      <c r="Y158" s="9"/>
      <c r="Z158" s="9"/>
      <c r="AA158" s="9"/>
      <c r="AB158" s="9"/>
      <c r="AC158" s="40"/>
    </row>
    <row r="159" customFormat="false" ht="15" hidden="false" customHeight="false" outlineLevel="0" collapsed="false">
      <c r="A159" s="10" t="str">
        <f aca="false">IF(C159="","",IFERROR(VLOOKUP(C159,Lists!$Y$4:$Z$20,2,0),"??")&amp;"-"&amp;UPPER(SUBSTITUTE(D159," ",""))&amp;IF(E159&lt;&gt;"","-SP"&amp;TEXT(E159*1000,"0"),"")&amp;IF(F159&lt;&gt;"","-H"&amp;TEXT(F159*1000,"0"),"")&amp;"-"&amp;M159)</f>
        <v/>
      </c>
      <c r="B159" s="10" t="str">
        <f aca="false">IF(C159="","",C159&amp;" - "&amp;D159&amp;IF(E159&lt;&gt;"",", span "&amp;E159&amp;" m","")&amp;IF(F159&lt;&gt;"",", H "&amp;F159&amp;" m","")&amp;IF(G159&lt;&gt;"",", W "&amp;G159&amp;" m",""))</f>
        <v/>
      </c>
      <c r="C159" s="9"/>
      <c r="D159" s="9"/>
      <c r="E159" s="38"/>
      <c r="F159" s="38"/>
      <c r="G159" s="3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37"/>
      <c r="U159" s="38"/>
      <c r="V159" s="39"/>
      <c r="W159" s="39"/>
      <c r="X159" s="9"/>
      <c r="Y159" s="9"/>
      <c r="Z159" s="9"/>
      <c r="AA159" s="9"/>
      <c r="AB159" s="9"/>
      <c r="AC159" s="40"/>
    </row>
    <row r="160" customFormat="false" ht="15" hidden="false" customHeight="false" outlineLevel="0" collapsed="false">
      <c r="A160" s="10" t="str">
        <f aca="false">IF(C160="","",IFERROR(VLOOKUP(C160,Lists!$Y$4:$Z$20,2,0),"??")&amp;"-"&amp;UPPER(SUBSTITUTE(D160," ",""))&amp;IF(E160&lt;&gt;"","-SP"&amp;TEXT(E160*1000,"0"),"")&amp;IF(F160&lt;&gt;"","-H"&amp;TEXT(F160*1000,"0"),"")&amp;"-"&amp;M160)</f>
        <v/>
      </c>
      <c r="B160" s="10" t="str">
        <f aca="false">IF(C160="","",C160&amp;" - "&amp;D160&amp;IF(E160&lt;&gt;"",", span "&amp;E160&amp;" m","")&amp;IF(F160&lt;&gt;"",", H "&amp;F160&amp;" m","")&amp;IF(G160&lt;&gt;"",", W "&amp;G160&amp;" m",""))</f>
        <v/>
      </c>
      <c r="C160" s="9"/>
      <c r="D160" s="9"/>
      <c r="E160" s="38"/>
      <c r="F160" s="38"/>
      <c r="G160" s="3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37"/>
      <c r="U160" s="38"/>
      <c r="V160" s="39"/>
      <c r="W160" s="39"/>
      <c r="X160" s="9"/>
      <c r="Y160" s="9"/>
      <c r="Z160" s="9"/>
      <c r="AA160" s="9"/>
      <c r="AB160" s="9"/>
      <c r="AC160" s="40"/>
    </row>
    <row r="161" customFormat="false" ht="15" hidden="false" customHeight="false" outlineLevel="0" collapsed="false">
      <c r="A161" s="10" t="str">
        <f aca="false">IF(C161="","",IFERROR(VLOOKUP(C161,Lists!$Y$4:$Z$20,2,0),"??")&amp;"-"&amp;UPPER(SUBSTITUTE(D161," ",""))&amp;IF(E161&lt;&gt;"","-SP"&amp;TEXT(E161*1000,"0"),"")&amp;IF(F161&lt;&gt;"","-H"&amp;TEXT(F161*1000,"0"),"")&amp;"-"&amp;M161)</f>
        <v/>
      </c>
      <c r="B161" s="10" t="str">
        <f aca="false">IF(C161="","",C161&amp;" - "&amp;D161&amp;IF(E161&lt;&gt;"",", span "&amp;E161&amp;" m","")&amp;IF(F161&lt;&gt;"",", H "&amp;F161&amp;" m","")&amp;IF(G161&lt;&gt;"",", W "&amp;G161&amp;" m",""))</f>
        <v/>
      </c>
      <c r="C161" s="9"/>
      <c r="D161" s="9"/>
      <c r="E161" s="38"/>
      <c r="F161" s="38"/>
      <c r="G161" s="3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37"/>
      <c r="U161" s="38"/>
      <c r="V161" s="39"/>
      <c r="W161" s="39"/>
      <c r="X161" s="9"/>
      <c r="Y161" s="9"/>
      <c r="Z161" s="9"/>
      <c r="AA161" s="9"/>
      <c r="AB161" s="9"/>
      <c r="AC161" s="40"/>
    </row>
    <row r="162" customFormat="false" ht="15" hidden="false" customHeight="false" outlineLevel="0" collapsed="false">
      <c r="A162" s="10" t="str">
        <f aca="false">IF(C162="","",IFERROR(VLOOKUP(C162,Lists!$Y$4:$Z$20,2,0),"??")&amp;"-"&amp;UPPER(SUBSTITUTE(D162," ",""))&amp;IF(E162&lt;&gt;"","-SP"&amp;TEXT(E162*1000,"0"),"")&amp;IF(F162&lt;&gt;"","-H"&amp;TEXT(F162*1000,"0"),"")&amp;"-"&amp;M162)</f>
        <v/>
      </c>
      <c r="B162" s="10" t="str">
        <f aca="false">IF(C162="","",C162&amp;" - "&amp;D162&amp;IF(E162&lt;&gt;"",", span "&amp;E162&amp;" m","")&amp;IF(F162&lt;&gt;"",", H "&amp;F162&amp;" m","")&amp;IF(G162&lt;&gt;"",", W "&amp;G162&amp;" m",""))</f>
        <v/>
      </c>
      <c r="C162" s="9"/>
      <c r="D162" s="9"/>
      <c r="E162" s="38"/>
      <c r="F162" s="38"/>
      <c r="G162" s="3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37"/>
      <c r="U162" s="38"/>
      <c r="V162" s="39"/>
      <c r="W162" s="39"/>
      <c r="X162" s="9"/>
      <c r="Y162" s="9"/>
      <c r="Z162" s="9"/>
      <c r="AA162" s="9"/>
      <c r="AB162" s="9"/>
      <c r="AC162" s="40"/>
    </row>
    <row r="163" customFormat="false" ht="15" hidden="false" customHeight="false" outlineLevel="0" collapsed="false">
      <c r="A163" s="10" t="str">
        <f aca="false">IF(C163="","",IFERROR(VLOOKUP(C163,Lists!$Y$4:$Z$20,2,0),"??")&amp;"-"&amp;UPPER(SUBSTITUTE(D163," ",""))&amp;IF(E163&lt;&gt;"","-SP"&amp;TEXT(E163*1000,"0"),"")&amp;IF(F163&lt;&gt;"","-H"&amp;TEXT(F163*1000,"0"),"")&amp;"-"&amp;M163)</f>
        <v/>
      </c>
      <c r="B163" s="10" t="str">
        <f aca="false">IF(C163="","",C163&amp;" - "&amp;D163&amp;IF(E163&lt;&gt;"",", span "&amp;E163&amp;" m","")&amp;IF(F163&lt;&gt;"",", H "&amp;F163&amp;" m","")&amp;IF(G163&lt;&gt;"",", W "&amp;G163&amp;" m",""))</f>
        <v/>
      </c>
      <c r="C163" s="9"/>
      <c r="D163" s="9"/>
      <c r="E163" s="38"/>
      <c r="F163" s="38"/>
      <c r="G163" s="3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37"/>
      <c r="U163" s="38"/>
      <c r="V163" s="39"/>
      <c r="W163" s="39"/>
      <c r="X163" s="9"/>
      <c r="Y163" s="9"/>
      <c r="Z163" s="9"/>
      <c r="AA163" s="9"/>
      <c r="AB163" s="9"/>
      <c r="AC163" s="40"/>
    </row>
    <row r="164" customFormat="false" ht="15" hidden="false" customHeight="false" outlineLevel="0" collapsed="false">
      <c r="A164" s="10" t="str">
        <f aca="false">IF(C164="","",IFERROR(VLOOKUP(C164,Lists!$Y$4:$Z$20,2,0),"??")&amp;"-"&amp;UPPER(SUBSTITUTE(D164," ",""))&amp;IF(E164&lt;&gt;"","-SP"&amp;TEXT(E164*1000,"0"),"")&amp;IF(F164&lt;&gt;"","-H"&amp;TEXT(F164*1000,"0"),"")&amp;"-"&amp;M164)</f>
        <v/>
      </c>
      <c r="B164" s="10" t="str">
        <f aca="false">IF(C164="","",C164&amp;" - "&amp;D164&amp;IF(E164&lt;&gt;"",", span "&amp;E164&amp;" m","")&amp;IF(F164&lt;&gt;"",", H "&amp;F164&amp;" m","")&amp;IF(G164&lt;&gt;"",", W "&amp;G164&amp;" m",""))</f>
        <v/>
      </c>
      <c r="C164" s="9"/>
      <c r="D164" s="9"/>
      <c r="E164" s="38"/>
      <c r="F164" s="38"/>
      <c r="G164" s="3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37"/>
      <c r="U164" s="38"/>
      <c r="V164" s="39"/>
      <c r="W164" s="39"/>
      <c r="X164" s="9"/>
      <c r="Y164" s="9"/>
      <c r="Z164" s="9"/>
      <c r="AA164" s="9"/>
      <c r="AB164" s="9"/>
      <c r="AC164" s="40"/>
    </row>
    <row r="165" customFormat="false" ht="15" hidden="false" customHeight="false" outlineLevel="0" collapsed="false">
      <c r="A165" s="10" t="str">
        <f aca="false">IF(C165="","",IFERROR(VLOOKUP(C165,Lists!$Y$4:$Z$20,2,0),"??")&amp;"-"&amp;UPPER(SUBSTITUTE(D165," ",""))&amp;IF(E165&lt;&gt;"","-SP"&amp;TEXT(E165*1000,"0"),"")&amp;IF(F165&lt;&gt;"","-H"&amp;TEXT(F165*1000,"0"),"")&amp;"-"&amp;M165)</f>
        <v/>
      </c>
      <c r="B165" s="10" t="str">
        <f aca="false">IF(C165="","",C165&amp;" - "&amp;D165&amp;IF(E165&lt;&gt;"",", span "&amp;E165&amp;" m","")&amp;IF(F165&lt;&gt;"",", H "&amp;F165&amp;" m","")&amp;IF(G165&lt;&gt;"",", W "&amp;G165&amp;" m",""))</f>
        <v/>
      </c>
      <c r="C165" s="9"/>
      <c r="D165" s="9"/>
      <c r="E165" s="38"/>
      <c r="F165" s="38"/>
      <c r="G165" s="3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37"/>
      <c r="U165" s="38"/>
      <c r="V165" s="39"/>
      <c r="W165" s="39"/>
      <c r="X165" s="9"/>
      <c r="Y165" s="9"/>
      <c r="Z165" s="9"/>
      <c r="AA165" s="9"/>
      <c r="AB165" s="9"/>
      <c r="AC165" s="40"/>
    </row>
    <row r="166" customFormat="false" ht="15" hidden="false" customHeight="false" outlineLevel="0" collapsed="false">
      <c r="A166" s="10" t="str">
        <f aca="false">IF(C166="","",IFERROR(VLOOKUP(C166,Lists!$Y$4:$Z$20,2,0),"??")&amp;"-"&amp;UPPER(SUBSTITUTE(D166," ",""))&amp;IF(E166&lt;&gt;"","-SP"&amp;TEXT(E166*1000,"0"),"")&amp;IF(F166&lt;&gt;"","-H"&amp;TEXT(F166*1000,"0"),"")&amp;"-"&amp;M166)</f>
        <v/>
      </c>
      <c r="B166" s="10" t="str">
        <f aca="false">IF(C166="","",C166&amp;" - "&amp;D166&amp;IF(E166&lt;&gt;"",", span "&amp;E166&amp;" m","")&amp;IF(F166&lt;&gt;"",", H "&amp;F166&amp;" m","")&amp;IF(G166&lt;&gt;"",", W "&amp;G166&amp;" m",""))</f>
        <v/>
      </c>
      <c r="C166" s="9"/>
      <c r="D166" s="9"/>
      <c r="E166" s="38"/>
      <c r="F166" s="38"/>
      <c r="G166" s="3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37"/>
      <c r="U166" s="38"/>
      <c r="V166" s="39"/>
      <c r="W166" s="39"/>
      <c r="X166" s="9"/>
      <c r="Y166" s="9"/>
      <c r="Z166" s="9"/>
      <c r="AA166" s="9"/>
      <c r="AB166" s="9"/>
      <c r="AC166" s="40"/>
    </row>
    <row r="167" customFormat="false" ht="15" hidden="false" customHeight="false" outlineLevel="0" collapsed="false">
      <c r="A167" s="10" t="str">
        <f aca="false">IF(C167="","",IFERROR(VLOOKUP(C167,Lists!$Y$4:$Z$20,2,0),"??")&amp;"-"&amp;UPPER(SUBSTITUTE(D167," ",""))&amp;IF(E167&lt;&gt;"","-SP"&amp;TEXT(E167*1000,"0"),"")&amp;IF(F167&lt;&gt;"","-H"&amp;TEXT(F167*1000,"0"),"")&amp;"-"&amp;M167)</f>
        <v/>
      </c>
      <c r="B167" s="10" t="str">
        <f aca="false">IF(C167="","",C167&amp;" - "&amp;D167&amp;IF(E167&lt;&gt;"",", span "&amp;E167&amp;" m","")&amp;IF(F167&lt;&gt;"",", H "&amp;F167&amp;" m","")&amp;IF(G167&lt;&gt;"",", W "&amp;G167&amp;" m",""))</f>
        <v/>
      </c>
      <c r="C167" s="9"/>
      <c r="D167" s="9"/>
      <c r="E167" s="38"/>
      <c r="F167" s="38"/>
      <c r="G167" s="3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37"/>
      <c r="U167" s="38"/>
      <c r="V167" s="39"/>
      <c r="W167" s="39"/>
      <c r="X167" s="9"/>
      <c r="Y167" s="9"/>
      <c r="Z167" s="9"/>
      <c r="AA167" s="9"/>
      <c r="AB167" s="9"/>
      <c r="AC167" s="40"/>
    </row>
    <row r="168" customFormat="false" ht="15" hidden="false" customHeight="false" outlineLevel="0" collapsed="false">
      <c r="A168" s="10" t="str">
        <f aca="false">IF(C168="","",IFERROR(VLOOKUP(C168,Lists!$Y$4:$Z$20,2,0),"??")&amp;"-"&amp;UPPER(SUBSTITUTE(D168," ",""))&amp;IF(E168&lt;&gt;"","-SP"&amp;TEXT(E168*1000,"0"),"")&amp;IF(F168&lt;&gt;"","-H"&amp;TEXT(F168*1000,"0"),"")&amp;"-"&amp;M168)</f>
        <v/>
      </c>
      <c r="B168" s="10" t="str">
        <f aca="false">IF(C168="","",C168&amp;" - "&amp;D168&amp;IF(E168&lt;&gt;"",", span "&amp;E168&amp;" m","")&amp;IF(F168&lt;&gt;"",", H "&amp;F168&amp;" m","")&amp;IF(G168&lt;&gt;"",", W "&amp;G168&amp;" m",""))</f>
        <v/>
      </c>
      <c r="C168" s="9"/>
      <c r="D168" s="9"/>
      <c r="E168" s="38"/>
      <c r="F168" s="38"/>
      <c r="G168" s="3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37"/>
      <c r="U168" s="38"/>
      <c r="V168" s="39"/>
      <c r="W168" s="39"/>
      <c r="X168" s="9"/>
      <c r="Y168" s="9"/>
      <c r="Z168" s="9"/>
      <c r="AA168" s="9"/>
      <c r="AB168" s="9"/>
      <c r="AC168" s="40"/>
    </row>
    <row r="169" customFormat="false" ht="15" hidden="false" customHeight="false" outlineLevel="0" collapsed="false">
      <c r="A169" s="10" t="str">
        <f aca="false">IF(C169="","",IFERROR(VLOOKUP(C169,Lists!$Y$4:$Z$20,2,0),"??")&amp;"-"&amp;UPPER(SUBSTITUTE(D169," ",""))&amp;IF(E169&lt;&gt;"","-SP"&amp;TEXT(E169*1000,"0"),"")&amp;IF(F169&lt;&gt;"","-H"&amp;TEXT(F169*1000,"0"),"")&amp;"-"&amp;M169)</f>
        <v/>
      </c>
      <c r="B169" s="10" t="str">
        <f aca="false">IF(C169="","",C169&amp;" - "&amp;D169&amp;IF(E169&lt;&gt;"",", span "&amp;E169&amp;" m","")&amp;IF(F169&lt;&gt;"",", H "&amp;F169&amp;" m","")&amp;IF(G169&lt;&gt;"",", W "&amp;G169&amp;" m",""))</f>
        <v/>
      </c>
      <c r="C169" s="9"/>
      <c r="D169" s="9"/>
      <c r="E169" s="38"/>
      <c r="F169" s="38"/>
      <c r="G169" s="3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37"/>
      <c r="U169" s="38"/>
      <c r="V169" s="39"/>
      <c r="W169" s="39"/>
      <c r="X169" s="9"/>
      <c r="Y169" s="9"/>
      <c r="Z169" s="9"/>
      <c r="AA169" s="9"/>
      <c r="AB169" s="9"/>
      <c r="AC169" s="40"/>
    </row>
    <row r="170" customFormat="false" ht="15" hidden="false" customHeight="false" outlineLevel="0" collapsed="false">
      <c r="A170" s="10" t="str">
        <f aca="false">IF(C170="","",IFERROR(VLOOKUP(C170,Lists!$Y$4:$Z$20,2,0),"??")&amp;"-"&amp;UPPER(SUBSTITUTE(D170," ",""))&amp;IF(E170&lt;&gt;"","-SP"&amp;TEXT(E170*1000,"0"),"")&amp;IF(F170&lt;&gt;"","-H"&amp;TEXT(F170*1000,"0"),"")&amp;"-"&amp;M170)</f>
        <v/>
      </c>
      <c r="B170" s="10" t="str">
        <f aca="false">IF(C170="","",C170&amp;" - "&amp;D170&amp;IF(E170&lt;&gt;"",", span "&amp;E170&amp;" m","")&amp;IF(F170&lt;&gt;"",", H "&amp;F170&amp;" m","")&amp;IF(G170&lt;&gt;"",", W "&amp;G170&amp;" m",""))</f>
        <v/>
      </c>
      <c r="C170" s="9"/>
      <c r="D170" s="9"/>
      <c r="E170" s="38"/>
      <c r="F170" s="38"/>
      <c r="G170" s="3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37"/>
      <c r="U170" s="38"/>
      <c r="V170" s="39"/>
      <c r="W170" s="39"/>
      <c r="X170" s="9"/>
      <c r="Y170" s="9"/>
      <c r="Z170" s="9"/>
      <c r="AA170" s="9"/>
      <c r="AB170" s="9"/>
      <c r="AC170" s="40"/>
    </row>
    <row r="171" customFormat="false" ht="15" hidden="false" customHeight="false" outlineLevel="0" collapsed="false">
      <c r="A171" s="10" t="str">
        <f aca="false">IF(C171="","",IFERROR(VLOOKUP(C171,Lists!$Y$4:$Z$20,2,0),"??")&amp;"-"&amp;UPPER(SUBSTITUTE(D171," ",""))&amp;IF(E171&lt;&gt;"","-SP"&amp;TEXT(E171*1000,"0"),"")&amp;IF(F171&lt;&gt;"","-H"&amp;TEXT(F171*1000,"0"),"")&amp;"-"&amp;M171)</f>
        <v/>
      </c>
      <c r="B171" s="10" t="str">
        <f aca="false">IF(C171="","",C171&amp;" - "&amp;D171&amp;IF(E171&lt;&gt;"",", span "&amp;E171&amp;" m","")&amp;IF(F171&lt;&gt;"",", H "&amp;F171&amp;" m","")&amp;IF(G171&lt;&gt;"",", W "&amp;G171&amp;" m",""))</f>
        <v/>
      </c>
      <c r="C171" s="9"/>
      <c r="D171" s="9"/>
      <c r="E171" s="38"/>
      <c r="F171" s="38"/>
      <c r="G171" s="3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37"/>
      <c r="U171" s="38"/>
      <c r="V171" s="39"/>
      <c r="W171" s="39"/>
      <c r="X171" s="9"/>
      <c r="Y171" s="9"/>
      <c r="Z171" s="9"/>
      <c r="AA171" s="9"/>
      <c r="AB171" s="9"/>
      <c r="AC171" s="40"/>
    </row>
    <row r="172" customFormat="false" ht="15" hidden="false" customHeight="false" outlineLevel="0" collapsed="false">
      <c r="A172" s="10" t="str">
        <f aca="false">IF(C172="","",IFERROR(VLOOKUP(C172,Lists!$Y$4:$Z$20,2,0),"??")&amp;"-"&amp;UPPER(SUBSTITUTE(D172," ",""))&amp;IF(E172&lt;&gt;"","-SP"&amp;TEXT(E172*1000,"0"),"")&amp;IF(F172&lt;&gt;"","-H"&amp;TEXT(F172*1000,"0"),"")&amp;"-"&amp;M172)</f>
        <v/>
      </c>
      <c r="B172" s="10" t="str">
        <f aca="false">IF(C172="","",C172&amp;" - "&amp;D172&amp;IF(E172&lt;&gt;"",", span "&amp;E172&amp;" m","")&amp;IF(F172&lt;&gt;"",", H "&amp;F172&amp;" m","")&amp;IF(G172&lt;&gt;"",", W "&amp;G172&amp;" m",""))</f>
        <v/>
      </c>
      <c r="C172" s="9"/>
      <c r="D172" s="9"/>
      <c r="E172" s="38"/>
      <c r="F172" s="38"/>
      <c r="G172" s="3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37"/>
      <c r="U172" s="38"/>
      <c r="V172" s="39"/>
      <c r="W172" s="39"/>
      <c r="X172" s="9"/>
      <c r="Y172" s="9"/>
      <c r="Z172" s="9"/>
      <c r="AA172" s="9"/>
      <c r="AB172" s="9"/>
      <c r="AC172" s="40"/>
    </row>
    <row r="173" customFormat="false" ht="15" hidden="false" customHeight="false" outlineLevel="0" collapsed="false">
      <c r="A173" s="10" t="str">
        <f aca="false">IF(C173="","",IFERROR(VLOOKUP(C173,Lists!$Y$4:$Z$20,2,0),"??")&amp;"-"&amp;UPPER(SUBSTITUTE(D173," ",""))&amp;IF(E173&lt;&gt;"","-SP"&amp;TEXT(E173*1000,"0"),"")&amp;IF(F173&lt;&gt;"","-H"&amp;TEXT(F173*1000,"0"),"")&amp;"-"&amp;M173)</f>
        <v/>
      </c>
      <c r="B173" s="10" t="str">
        <f aca="false">IF(C173="","",C173&amp;" - "&amp;D173&amp;IF(E173&lt;&gt;"",", span "&amp;E173&amp;" m","")&amp;IF(F173&lt;&gt;"",", H "&amp;F173&amp;" m","")&amp;IF(G173&lt;&gt;"",", W "&amp;G173&amp;" m",""))</f>
        <v/>
      </c>
      <c r="C173" s="9"/>
      <c r="D173" s="9"/>
      <c r="E173" s="38"/>
      <c r="F173" s="38"/>
      <c r="G173" s="3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37"/>
      <c r="U173" s="38"/>
      <c r="V173" s="39"/>
      <c r="W173" s="39"/>
      <c r="X173" s="9"/>
      <c r="Y173" s="9"/>
      <c r="Z173" s="9"/>
      <c r="AA173" s="9"/>
      <c r="AB173" s="9"/>
      <c r="AC173" s="40"/>
    </row>
    <row r="174" customFormat="false" ht="15" hidden="false" customHeight="false" outlineLevel="0" collapsed="false">
      <c r="A174" s="10" t="str">
        <f aca="false">IF(C174="","",IFERROR(VLOOKUP(C174,Lists!$Y$4:$Z$20,2,0),"??")&amp;"-"&amp;UPPER(SUBSTITUTE(D174," ",""))&amp;IF(E174&lt;&gt;"","-SP"&amp;TEXT(E174*1000,"0"),"")&amp;IF(F174&lt;&gt;"","-H"&amp;TEXT(F174*1000,"0"),"")&amp;"-"&amp;M174)</f>
        <v/>
      </c>
      <c r="B174" s="10" t="str">
        <f aca="false">IF(C174="","",C174&amp;" - "&amp;D174&amp;IF(E174&lt;&gt;"",", span "&amp;E174&amp;" m","")&amp;IF(F174&lt;&gt;"",", H "&amp;F174&amp;" m","")&amp;IF(G174&lt;&gt;"",", W "&amp;G174&amp;" m",""))</f>
        <v/>
      </c>
      <c r="C174" s="9"/>
      <c r="D174" s="9"/>
      <c r="E174" s="38"/>
      <c r="F174" s="38"/>
      <c r="G174" s="3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37"/>
      <c r="U174" s="38"/>
      <c r="V174" s="39"/>
      <c r="W174" s="39"/>
      <c r="X174" s="9"/>
      <c r="Y174" s="9"/>
      <c r="Z174" s="9"/>
      <c r="AA174" s="9"/>
      <c r="AB174" s="9"/>
      <c r="AC174" s="40"/>
    </row>
    <row r="175" customFormat="false" ht="15" hidden="false" customHeight="false" outlineLevel="0" collapsed="false">
      <c r="A175" s="10" t="str">
        <f aca="false">IF(C175="","",IFERROR(VLOOKUP(C175,Lists!$Y$4:$Z$20,2,0),"??")&amp;"-"&amp;UPPER(SUBSTITUTE(D175," ",""))&amp;IF(E175&lt;&gt;"","-SP"&amp;TEXT(E175*1000,"0"),"")&amp;IF(F175&lt;&gt;"","-H"&amp;TEXT(F175*1000,"0"),"")&amp;"-"&amp;M175)</f>
        <v/>
      </c>
      <c r="B175" s="10" t="str">
        <f aca="false">IF(C175="","",C175&amp;" - "&amp;D175&amp;IF(E175&lt;&gt;"",", span "&amp;E175&amp;" m","")&amp;IF(F175&lt;&gt;"",", H "&amp;F175&amp;" m","")&amp;IF(G175&lt;&gt;"",", W "&amp;G175&amp;" m",""))</f>
        <v/>
      </c>
      <c r="C175" s="9"/>
      <c r="D175" s="9"/>
      <c r="E175" s="38"/>
      <c r="F175" s="38"/>
      <c r="G175" s="3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37"/>
      <c r="U175" s="38"/>
      <c r="V175" s="39"/>
      <c r="W175" s="39"/>
      <c r="X175" s="9"/>
      <c r="Y175" s="9"/>
      <c r="Z175" s="9"/>
      <c r="AA175" s="9"/>
      <c r="AB175" s="9"/>
      <c r="AC175" s="40"/>
    </row>
    <row r="176" customFormat="false" ht="15" hidden="false" customHeight="false" outlineLevel="0" collapsed="false">
      <c r="A176" s="10" t="str">
        <f aca="false">IF(C176="","",IFERROR(VLOOKUP(C176,Lists!$Y$4:$Z$20,2,0),"??")&amp;"-"&amp;UPPER(SUBSTITUTE(D176," ",""))&amp;IF(E176&lt;&gt;"","-SP"&amp;TEXT(E176*1000,"0"),"")&amp;IF(F176&lt;&gt;"","-H"&amp;TEXT(F176*1000,"0"),"")&amp;"-"&amp;M176)</f>
        <v/>
      </c>
      <c r="B176" s="10" t="str">
        <f aca="false">IF(C176="","",C176&amp;" - "&amp;D176&amp;IF(E176&lt;&gt;"",", span "&amp;E176&amp;" m","")&amp;IF(F176&lt;&gt;"",", H "&amp;F176&amp;" m","")&amp;IF(G176&lt;&gt;"",", W "&amp;G176&amp;" m",""))</f>
        <v/>
      </c>
      <c r="C176" s="9"/>
      <c r="D176" s="9"/>
      <c r="E176" s="38"/>
      <c r="F176" s="38"/>
      <c r="G176" s="3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37"/>
      <c r="U176" s="38"/>
      <c r="V176" s="39"/>
      <c r="W176" s="39"/>
      <c r="X176" s="9"/>
      <c r="Y176" s="9"/>
      <c r="Z176" s="9"/>
      <c r="AA176" s="9"/>
      <c r="AB176" s="9"/>
      <c r="AC176" s="40"/>
    </row>
    <row r="177" customFormat="false" ht="15" hidden="false" customHeight="false" outlineLevel="0" collapsed="false">
      <c r="A177" s="10" t="str">
        <f aca="false">IF(C177="","",IFERROR(VLOOKUP(C177,Lists!$Y$4:$Z$20,2,0),"??")&amp;"-"&amp;UPPER(SUBSTITUTE(D177," ",""))&amp;IF(E177&lt;&gt;"","-SP"&amp;TEXT(E177*1000,"0"),"")&amp;IF(F177&lt;&gt;"","-H"&amp;TEXT(F177*1000,"0"),"")&amp;"-"&amp;M177)</f>
        <v/>
      </c>
      <c r="B177" s="10" t="str">
        <f aca="false">IF(C177="","",C177&amp;" - "&amp;D177&amp;IF(E177&lt;&gt;"",", span "&amp;E177&amp;" m","")&amp;IF(F177&lt;&gt;"",", H "&amp;F177&amp;" m","")&amp;IF(G177&lt;&gt;"",", W "&amp;G177&amp;" m",""))</f>
        <v/>
      </c>
      <c r="C177" s="9"/>
      <c r="D177" s="9"/>
      <c r="E177" s="38"/>
      <c r="F177" s="38"/>
      <c r="G177" s="3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37"/>
      <c r="U177" s="38"/>
      <c r="V177" s="39"/>
      <c r="W177" s="39"/>
      <c r="X177" s="9"/>
      <c r="Y177" s="9"/>
      <c r="Z177" s="9"/>
      <c r="AA177" s="9"/>
      <c r="AB177" s="9"/>
      <c r="AC177" s="40"/>
    </row>
    <row r="178" customFormat="false" ht="15" hidden="false" customHeight="false" outlineLevel="0" collapsed="false">
      <c r="A178" s="10" t="str">
        <f aca="false">IF(C178="","",IFERROR(VLOOKUP(C178,Lists!$Y$4:$Z$20,2,0),"??")&amp;"-"&amp;UPPER(SUBSTITUTE(D178," ",""))&amp;IF(E178&lt;&gt;"","-SP"&amp;TEXT(E178*1000,"0"),"")&amp;IF(F178&lt;&gt;"","-H"&amp;TEXT(F178*1000,"0"),"")&amp;"-"&amp;M178)</f>
        <v/>
      </c>
      <c r="B178" s="10" t="str">
        <f aca="false">IF(C178="","",C178&amp;" - "&amp;D178&amp;IF(E178&lt;&gt;"",", span "&amp;E178&amp;" m","")&amp;IF(F178&lt;&gt;"",", H "&amp;F178&amp;" m","")&amp;IF(G178&lt;&gt;"",", W "&amp;G178&amp;" m",""))</f>
        <v/>
      </c>
      <c r="C178" s="9"/>
      <c r="D178" s="9"/>
      <c r="E178" s="38"/>
      <c r="F178" s="38"/>
      <c r="G178" s="3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37"/>
      <c r="U178" s="38"/>
      <c r="V178" s="39"/>
      <c r="W178" s="39"/>
      <c r="X178" s="9"/>
      <c r="Y178" s="9"/>
      <c r="Z178" s="9"/>
      <c r="AA178" s="9"/>
      <c r="AB178" s="9"/>
      <c r="AC178" s="40"/>
    </row>
    <row r="179" customFormat="false" ht="15" hidden="false" customHeight="false" outlineLevel="0" collapsed="false">
      <c r="A179" s="10" t="str">
        <f aca="false">IF(C179="","",IFERROR(VLOOKUP(C179,Lists!$Y$4:$Z$20,2,0),"??")&amp;"-"&amp;UPPER(SUBSTITUTE(D179," ",""))&amp;IF(E179&lt;&gt;"","-SP"&amp;TEXT(E179*1000,"0"),"")&amp;IF(F179&lt;&gt;"","-H"&amp;TEXT(F179*1000,"0"),"")&amp;"-"&amp;M179)</f>
        <v/>
      </c>
      <c r="B179" s="10" t="str">
        <f aca="false">IF(C179="","",C179&amp;" - "&amp;D179&amp;IF(E179&lt;&gt;"",", span "&amp;E179&amp;" m","")&amp;IF(F179&lt;&gt;"",", H "&amp;F179&amp;" m","")&amp;IF(G179&lt;&gt;"",", W "&amp;G179&amp;" m",""))</f>
        <v/>
      </c>
      <c r="C179" s="9"/>
      <c r="D179" s="9"/>
      <c r="E179" s="38"/>
      <c r="F179" s="38"/>
      <c r="G179" s="3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37"/>
      <c r="U179" s="38"/>
      <c r="V179" s="39"/>
      <c r="W179" s="39"/>
      <c r="X179" s="9"/>
      <c r="Y179" s="9"/>
      <c r="Z179" s="9"/>
      <c r="AA179" s="9"/>
      <c r="AB179" s="9"/>
      <c r="AC179" s="40"/>
    </row>
    <row r="180" customFormat="false" ht="15" hidden="false" customHeight="false" outlineLevel="0" collapsed="false">
      <c r="A180" s="10" t="str">
        <f aca="false">IF(C180="","",IFERROR(VLOOKUP(C180,Lists!$Y$4:$Z$20,2,0),"??")&amp;"-"&amp;UPPER(SUBSTITUTE(D180," ",""))&amp;IF(E180&lt;&gt;"","-SP"&amp;TEXT(E180*1000,"0"),"")&amp;IF(F180&lt;&gt;"","-H"&amp;TEXT(F180*1000,"0"),"")&amp;"-"&amp;M180)</f>
        <v/>
      </c>
      <c r="B180" s="10" t="str">
        <f aca="false">IF(C180="","",C180&amp;" - "&amp;D180&amp;IF(E180&lt;&gt;"",", span "&amp;E180&amp;" m","")&amp;IF(F180&lt;&gt;"",", H "&amp;F180&amp;" m","")&amp;IF(G180&lt;&gt;"",", W "&amp;G180&amp;" m",""))</f>
        <v/>
      </c>
      <c r="C180" s="9"/>
      <c r="D180" s="9"/>
      <c r="E180" s="38"/>
      <c r="F180" s="38"/>
      <c r="G180" s="3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37"/>
      <c r="U180" s="38"/>
      <c r="V180" s="39"/>
      <c r="W180" s="39"/>
      <c r="X180" s="9"/>
      <c r="Y180" s="9"/>
      <c r="Z180" s="9"/>
      <c r="AA180" s="9"/>
      <c r="AB180" s="9"/>
      <c r="AC180" s="40"/>
    </row>
    <row r="181" customFormat="false" ht="15" hidden="false" customHeight="false" outlineLevel="0" collapsed="false">
      <c r="A181" s="10" t="str">
        <f aca="false">IF(C181="","",IFERROR(VLOOKUP(C181,Lists!$Y$4:$Z$20,2,0),"??")&amp;"-"&amp;UPPER(SUBSTITUTE(D181," ",""))&amp;IF(E181&lt;&gt;"","-SP"&amp;TEXT(E181*1000,"0"),"")&amp;IF(F181&lt;&gt;"","-H"&amp;TEXT(F181*1000,"0"),"")&amp;"-"&amp;M181)</f>
        <v/>
      </c>
      <c r="B181" s="10" t="str">
        <f aca="false">IF(C181="","",C181&amp;" - "&amp;D181&amp;IF(E181&lt;&gt;"",", span "&amp;E181&amp;" m","")&amp;IF(F181&lt;&gt;"",", H "&amp;F181&amp;" m","")&amp;IF(G181&lt;&gt;"",", W "&amp;G181&amp;" m",""))</f>
        <v/>
      </c>
      <c r="C181" s="9"/>
      <c r="D181" s="9"/>
      <c r="E181" s="38"/>
      <c r="F181" s="38"/>
      <c r="G181" s="3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37"/>
      <c r="U181" s="38"/>
      <c r="V181" s="39"/>
      <c r="W181" s="39"/>
      <c r="X181" s="9"/>
      <c r="Y181" s="9"/>
      <c r="Z181" s="9"/>
      <c r="AA181" s="9"/>
      <c r="AB181" s="9"/>
      <c r="AC181" s="40"/>
    </row>
    <row r="182" customFormat="false" ht="15" hidden="false" customHeight="false" outlineLevel="0" collapsed="false">
      <c r="A182" s="10" t="str">
        <f aca="false">IF(C182="","",IFERROR(VLOOKUP(C182,Lists!$Y$4:$Z$20,2,0),"??")&amp;"-"&amp;UPPER(SUBSTITUTE(D182," ",""))&amp;IF(E182&lt;&gt;"","-SP"&amp;TEXT(E182*1000,"0"),"")&amp;IF(F182&lt;&gt;"","-H"&amp;TEXT(F182*1000,"0"),"")&amp;"-"&amp;M182)</f>
        <v/>
      </c>
      <c r="B182" s="10" t="str">
        <f aca="false">IF(C182="","",C182&amp;" - "&amp;D182&amp;IF(E182&lt;&gt;"",", span "&amp;E182&amp;" m","")&amp;IF(F182&lt;&gt;"",", H "&amp;F182&amp;" m","")&amp;IF(G182&lt;&gt;"",", W "&amp;G182&amp;" m",""))</f>
        <v/>
      </c>
      <c r="C182" s="9"/>
      <c r="D182" s="9"/>
      <c r="E182" s="38"/>
      <c r="F182" s="38"/>
      <c r="G182" s="3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37"/>
      <c r="U182" s="38"/>
      <c r="V182" s="39"/>
      <c r="W182" s="39"/>
      <c r="X182" s="9"/>
      <c r="Y182" s="9"/>
      <c r="Z182" s="9"/>
      <c r="AA182" s="9"/>
      <c r="AB182" s="9"/>
      <c r="AC182" s="40"/>
    </row>
    <row r="183" customFormat="false" ht="15" hidden="false" customHeight="false" outlineLevel="0" collapsed="false">
      <c r="A183" s="10" t="str">
        <f aca="false">IF(C183="","",IFERROR(VLOOKUP(C183,Lists!$Y$4:$Z$20,2,0),"??")&amp;"-"&amp;UPPER(SUBSTITUTE(D183," ",""))&amp;IF(E183&lt;&gt;"","-SP"&amp;TEXT(E183*1000,"0"),"")&amp;IF(F183&lt;&gt;"","-H"&amp;TEXT(F183*1000,"0"),"")&amp;"-"&amp;M183)</f>
        <v/>
      </c>
      <c r="B183" s="10" t="str">
        <f aca="false">IF(C183="","",C183&amp;" - "&amp;D183&amp;IF(E183&lt;&gt;"",", span "&amp;E183&amp;" m","")&amp;IF(F183&lt;&gt;"",", H "&amp;F183&amp;" m","")&amp;IF(G183&lt;&gt;"",", W "&amp;G183&amp;" m",""))</f>
        <v/>
      </c>
      <c r="C183" s="9"/>
      <c r="D183" s="9"/>
      <c r="E183" s="38"/>
      <c r="F183" s="38"/>
      <c r="G183" s="3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37"/>
      <c r="U183" s="38"/>
      <c r="V183" s="39"/>
      <c r="W183" s="39"/>
      <c r="X183" s="9"/>
      <c r="Y183" s="9"/>
      <c r="Z183" s="9"/>
      <c r="AA183" s="9"/>
      <c r="AB183" s="9"/>
      <c r="AC183" s="40"/>
    </row>
    <row r="184" customFormat="false" ht="15" hidden="false" customHeight="false" outlineLevel="0" collapsed="false">
      <c r="A184" s="10" t="str">
        <f aca="false">IF(C184="","",IFERROR(VLOOKUP(C184,Lists!$Y$4:$Z$20,2,0),"??")&amp;"-"&amp;UPPER(SUBSTITUTE(D184," ",""))&amp;IF(E184&lt;&gt;"","-SP"&amp;TEXT(E184*1000,"0"),"")&amp;IF(F184&lt;&gt;"","-H"&amp;TEXT(F184*1000,"0"),"")&amp;"-"&amp;M184)</f>
        <v/>
      </c>
      <c r="B184" s="10" t="str">
        <f aca="false">IF(C184="","",C184&amp;" - "&amp;D184&amp;IF(E184&lt;&gt;"",", span "&amp;E184&amp;" m","")&amp;IF(F184&lt;&gt;"",", H "&amp;F184&amp;" m","")&amp;IF(G184&lt;&gt;"",", W "&amp;G184&amp;" m",""))</f>
        <v/>
      </c>
      <c r="C184" s="9"/>
      <c r="D184" s="9"/>
      <c r="E184" s="38"/>
      <c r="F184" s="38"/>
      <c r="G184" s="3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37"/>
      <c r="U184" s="38"/>
      <c r="V184" s="39"/>
      <c r="W184" s="39"/>
      <c r="X184" s="9"/>
      <c r="Y184" s="9"/>
      <c r="Z184" s="9"/>
      <c r="AA184" s="9"/>
      <c r="AB184" s="9"/>
      <c r="AC184" s="40"/>
    </row>
    <row r="185" customFormat="false" ht="15" hidden="false" customHeight="false" outlineLevel="0" collapsed="false">
      <c r="A185" s="10" t="str">
        <f aca="false">IF(C185="","",IFERROR(VLOOKUP(C185,Lists!$Y$4:$Z$20,2,0),"??")&amp;"-"&amp;UPPER(SUBSTITUTE(D185," ",""))&amp;IF(E185&lt;&gt;"","-SP"&amp;TEXT(E185*1000,"0"),"")&amp;IF(F185&lt;&gt;"","-H"&amp;TEXT(F185*1000,"0"),"")&amp;"-"&amp;M185)</f>
        <v/>
      </c>
      <c r="B185" s="10" t="str">
        <f aca="false">IF(C185="","",C185&amp;" - "&amp;D185&amp;IF(E185&lt;&gt;"",", span "&amp;E185&amp;" m","")&amp;IF(F185&lt;&gt;"",", H "&amp;F185&amp;" m","")&amp;IF(G185&lt;&gt;"",", W "&amp;G185&amp;" m",""))</f>
        <v/>
      </c>
      <c r="C185" s="9"/>
      <c r="D185" s="9"/>
      <c r="E185" s="38"/>
      <c r="F185" s="38"/>
      <c r="G185" s="3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37"/>
      <c r="U185" s="38"/>
      <c r="V185" s="39"/>
      <c r="W185" s="39"/>
      <c r="X185" s="9"/>
      <c r="Y185" s="9"/>
      <c r="Z185" s="9"/>
      <c r="AA185" s="9"/>
      <c r="AB185" s="9"/>
      <c r="AC185" s="40"/>
    </row>
    <row r="186" customFormat="false" ht="15" hidden="false" customHeight="false" outlineLevel="0" collapsed="false">
      <c r="A186" s="10" t="str">
        <f aca="false">IF(C186="","",IFERROR(VLOOKUP(C186,Lists!$Y$4:$Z$20,2,0),"??")&amp;"-"&amp;UPPER(SUBSTITUTE(D186," ",""))&amp;IF(E186&lt;&gt;"","-SP"&amp;TEXT(E186*1000,"0"),"")&amp;IF(F186&lt;&gt;"","-H"&amp;TEXT(F186*1000,"0"),"")&amp;"-"&amp;M186)</f>
        <v/>
      </c>
      <c r="B186" s="10" t="str">
        <f aca="false">IF(C186="","",C186&amp;" - "&amp;D186&amp;IF(E186&lt;&gt;"",", span "&amp;E186&amp;" m","")&amp;IF(F186&lt;&gt;"",", H "&amp;F186&amp;" m","")&amp;IF(G186&lt;&gt;"",", W "&amp;G186&amp;" m",""))</f>
        <v/>
      </c>
      <c r="C186" s="9"/>
      <c r="D186" s="9"/>
      <c r="E186" s="38"/>
      <c r="F186" s="38"/>
      <c r="G186" s="3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37"/>
      <c r="U186" s="38"/>
      <c r="V186" s="39"/>
      <c r="W186" s="39"/>
      <c r="X186" s="9"/>
      <c r="Y186" s="9"/>
      <c r="Z186" s="9"/>
      <c r="AA186" s="9"/>
      <c r="AB186" s="9"/>
      <c r="AC186" s="40"/>
    </row>
    <row r="187" customFormat="false" ht="15" hidden="false" customHeight="false" outlineLevel="0" collapsed="false">
      <c r="A187" s="10" t="str">
        <f aca="false">IF(C187="","",IFERROR(VLOOKUP(C187,Lists!$Y$4:$Z$20,2,0),"??")&amp;"-"&amp;UPPER(SUBSTITUTE(D187," ",""))&amp;IF(E187&lt;&gt;"","-SP"&amp;TEXT(E187*1000,"0"),"")&amp;IF(F187&lt;&gt;"","-H"&amp;TEXT(F187*1000,"0"),"")&amp;"-"&amp;M187)</f>
        <v/>
      </c>
      <c r="B187" s="10" t="str">
        <f aca="false">IF(C187="","",C187&amp;" - "&amp;D187&amp;IF(E187&lt;&gt;"",", span "&amp;E187&amp;" m","")&amp;IF(F187&lt;&gt;"",", H "&amp;F187&amp;" m","")&amp;IF(G187&lt;&gt;"",", W "&amp;G187&amp;" m",""))</f>
        <v/>
      </c>
      <c r="C187" s="9"/>
      <c r="D187" s="9"/>
      <c r="E187" s="38"/>
      <c r="F187" s="38"/>
      <c r="G187" s="3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37"/>
      <c r="U187" s="38"/>
      <c r="V187" s="39"/>
      <c r="W187" s="39"/>
      <c r="X187" s="9"/>
      <c r="Y187" s="9"/>
      <c r="Z187" s="9"/>
      <c r="AA187" s="9"/>
      <c r="AB187" s="9"/>
      <c r="AC187" s="40"/>
    </row>
    <row r="188" customFormat="false" ht="15" hidden="false" customHeight="false" outlineLevel="0" collapsed="false">
      <c r="A188" s="10" t="str">
        <f aca="false">IF(C188="","",IFERROR(VLOOKUP(C188,Lists!$Y$4:$Z$20,2,0),"??")&amp;"-"&amp;UPPER(SUBSTITUTE(D188," ",""))&amp;IF(E188&lt;&gt;"","-SP"&amp;TEXT(E188*1000,"0"),"")&amp;IF(F188&lt;&gt;"","-H"&amp;TEXT(F188*1000,"0"),"")&amp;"-"&amp;M188)</f>
        <v/>
      </c>
      <c r="B188" s="10" t="str">
        <f aca="false">IF(C188="","",C188&amp;" - "&amp;D188&amp;IF(E188&lt;&gt;"",", span "&amp;E188&amp;" m","")&amp;IF(F188&lt;&gt;"",", H "&amp;F188&amp;" m","")&amp;IF(G188&lt;&gt;"",", W "&amp;G188&amp;" m",""))</f>
        <v/>
      </c>
      <c r="C188" s="9"/>
      <c r="D188" s="9"/>
      <c r="E188" s="38"/>
      <c r="F188" s="38"/>
      <c r="G188" s="3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37"/>
      <c r="U188" s="38"/>
      <c r="V188" s="39"/>
      <c r="W188" s="39"/>
      <c r="X188" s="9"/>
      <c r="Y188" s="9"/>
      <c r="Z188" s="9"/>
      <c r="AA188" s="9"/>
      <c r="AB188" s="9"/>
      <c r="AC188" s="40"/>
    </row>
    <row r="189" customFormat="false" ht="15" hidden="false" customHeight="false" outlineLevel="0" collapsed="false">
      <c r="A189" s="10" t="str">
        <f aca="false">IF(C189="","",IFERROR(VLOOKUP(C189,Lists!$Y$4:$Z$20,2,0),"??")&amp;"-"&amp;UPPER(SUBSTITUTE(D189," ",""))&amp;IF(E189&lt;&gt;"","-SP"&amp;TEXT(E189*1000,"0"),"")&amp;IF(F189&lt;&gt;"","-H"&amp;TEXT(F189*1000,"0"),"")&amp;"-"&amp;M189)</f>
        <v/>
      </c>
      <c r="B189" s="10" t="str">
        <f aca="false">IF(C189="","",C189&amp;" - "&amp;D189&amp;IF(E189&lt;&gt;"",", span "&amp;E189&amp;" m","")&amp;IF(F189&lt;&gt;"",", H "&amp;F189&amp;" m","")&amp;IF(G189&lt;&gt;"",", W "&amp;G189&amp;" m",""))</f>
        <v/>
      </c>
      <c r="C189" s="9"/>
      <c r="D189" s="9"/>
      <c r="E189" s="38"/>
      <c r="F189" s="38"/>
      <c r="G189" s="3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37"/>
      <c r="U189" s="38"/>
      <c r="V189" s="39"/>
      <c r="W189" s="39"/>
      <c r="X189" s="9"/>
      <c r="Y189" s="9"/>
      <c r="Z189" s="9"/>
      <c r="AA189" s="9"/>
      <c r="AB189" s="9"/>
      <c r="AC189" s="40"/>
    </row>
    <row r="190" customFormat="false" ht="15" hidden="false" customHeight="false" outlineLevel="0" collapsed="false">
      <c r="A190" s="10" t="str">
        <f aca="false">IF(C190="","",IFERROR(VLOOKUP(C190,Lists!$Y$4:$Z$20,2,0),"??")&amp;"-"&amp;UPPER(SUBSTITUTE(D190," ",""))&amp;IF(E190&lt;&gt;"","-SP"&amp;TEXT(E190*1000,"0"),"")&amp;IF(F190&lt;&gt;"","-H"&amp;TEXT(F190*1000,"0"),"")&amp;"-"&amp;M190)</f>
        <v/>
      </c>
      <c r="B190" s="10" t="str">
        <f aca="false">IF(C190="","",C190&amp;" - "&amp;D190&amp;IF(E190&lt;&gt;"",", span "&amp;E190&amp;" m","")&amp;IF(F190&lt;&gt;"",", H "&amp;F190&amp;" m","")&amp;IF(G190&lt;&gt;"",", W "&amp;G190&amp;" m",""))</f>
        <v/>
      </c>
      <c r="C190" s="9"/>
      <c r="D190" s="9"/>
      <c r="E190" s="38"/>
      <c r="F190" s="38"/>
      <c r="G190" s="3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37"/>
      <c r="U190" s="38"/>
      <c r="V190" s="39"/>
      <c r="W190" s="39"/>
      <c r="X190" s="9"/>
      <c r="Y190" s="9"/>
      <c r="Z190" s="9"/>
      <c r="AA190" s="9"/>
      <c r="AB190" s="9"/>
      <c r="AC190" s="40"/>
    </row>
    <row r="191" customFormat="false" ht="15" hidden="false" customHeight="false" outlineLevel="0" collapsed="false">
      <c r="A191" s="10" t="str">
        <f aca="false">IF(C191="","",IFERROR(VLOOKUP(C191,Lists!$Y$4:$Z$20,2,0),"??")&amp;"-"&amp;UPPER(SUBSTITUTE(D191," ",""))&amp;IF(E191&lt;&gt;"","-SP"&amp;TEXT(E191*1000,"0"),"")&amp;IF(F191&lt;&gt;"","-H"&amp;TEXT(F191*1000,"0"),"")&amp;"-"&amp;M191)</f>
        <v/>
      </c>
      <c r="B191" s="10" t="str">
        <f aca="false">IF(C191="","",C191&amp;" - "&amp;D191&amp;IF(E191&lt;&gt;"",", span "&amp;E191&amp;" m","")&amp;IF(F191&lt;&gt;"",", H "&amp;F191&amp;" m","")&amp;IF(G191&lt;&gt;"",", W "&amp;G191&amp;" m",""))</f>
        <v/>
      </c>
      <c r="C191" s="9"/>
      <c r="D191" s="9"/>
      <c r="E191" s="38"/>
      <c r="F191" s="38"/>
      <c r="G191" s="3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37"/>
      <c r="U191" s="38"/>
      <c r="V191" s="39"/>
      <c r="W191" s="39"/>
      <c r="X191" s="9"/>
      <c r="Y191" s="9"/>
      <c r="Z191" s="9"/>
      <c r="AA191" s="9"/>
      <c r="AB191" s="9"/>
      <c r="AC191" s="40"/>
    </row>
    <row r="192" customFormat="false" ht="15" hidden="false" customHeight="false" outlineLevel="0" collapsed="false">
      <c r="A192" s="10" t="str">
        <f aca="false">IF(C192="","",IFERROR(VLOOKUP(C192,Lists!$Y$4:$Z$20,2,0),"??")&amp;"-"&amp;UPPER(SUBSTITUTE(D192," ",""))&amp;IF(E192&lt;&gt;"","-SP"&amp;TEXT(E192*1000,"0"),"")&amp;IF(F192&lt;&gt;"","-H"&amp;TEXT(F192*1000,"0"),"")&amp;"-"&amp;M192)</f>
        <v/>
      </c>
      <c r="B192" s="10" t="str">
        <f aca="false">IF(C192="","",C192&amp;" - "&amp;D192&amp;IF(E192&lt;&gt;"",", span "&amp;E192&amp;" m","")&amp;IF(F192&lt;&gt;"",", H "&amp;F192&amp;" m","")&amp;IF(G192&lt;&gt;"",", W "&amp;G192&amp;" m",""))</f>
        <v/>
      </c>
      <c r="C192" s="9"/>
      <c r="D192" s="9"/>
      <c r="E192" s="38"/>
      <c r="F192" s="38"/>
      <c r="G192" s="3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37"/>
      <c r="U192" s="38"/>
      <c r="V192" s="39"/>
      <c r="W192" s="39"/>
      <c r="X192" s="9"/>
      <c r="Y192" s="9"/>
      <c r="Z192" s="9"/>
      <c r="AA192" s="9"/>
      <c r="AB192" s="9"/>
      <c r="AC192" s="40"/>
    </row>
    <row r="193" customFormat="false" ht="15" hidden="false" customHeight="false" outlineLevel="0" collapsed="false">
      <c r="A193" s="10" t="str">
        <f aca="false">IF(C193="","",IFERROR(VLOOKUP(C193,Lists!$Y$4:$Z$20,2,0),"??")&amp;"-"&amp;UPPER(SUBSTITUTE(D193," ",""))&amp;IF(E193&lt;&gt;"","-SP"&amp;TEXT(E193*1000,"0"),"")&amp;IF(F193&lt;&gt;"","-H"&amp;TEXT(F193*1000,"0"),"")&amp;"-"&amp;M193)</f>
        <v/>
      </c>
      <c r="B193" s="10" t="str">
        <f aca="false">IF(C193="","",C193&amp;" - "&amp;D193&amp;IF(E193&lt;&gt;"",", span "&amp;E193&amp;" m","")&amp;IF(F193&lt;&gt;"",", H "&amp;F193&amp;" m","")&amp;IF(G193&lt;&gt;"",", W "&amp;G193&amp;" m",""))</f>
        <v/>
      </c>
      <c r="C193" s="9"/>
      <c r="D193" s="9"/>
      <c r="E193" s="38"/>
      <c r="F193" s="38"/>
      <c r="G193" s="3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37"/>
      <c r="U193" s="38"/>
      <c r="V193" s="39"/>
      <c r="W193" s="39"/>
      <c r="X193" s="9"/>
      <c r="Y193" s="9"/>
      <c r="Z193" s="9"/>
      <c r="AA193" s="9"/>
      <c r="AB193" s="9"/>
      <c r="AC193" s="40"/>
    </row>
    <row r="194" customFormat="false" ht="15" hidden="false" customHeight="false" outlineLevel="0" collapsed="false">
      <c r="A194" s="10" t="str">
        <f aca="false">IF(C194="","",IFERROR(VLOOKUP(C194,Lists!$Y$4:$Z$20,2,0),"??")&amp;"-"&amp;UPPER(SUBSTITUTE(D194," ",""))&amp;IF(E194&lt;&gt;"","-SP"&amp;TEXT(E194*1000,"0"),"")&amp;IF(F194&lt;&gt;"","-H"&amp;TEXT(F194*1000,"0"),"")&amp;"-"&amp;M194)</f>
        <v/>
      </c>
      <c r="B194" s="10" t="str">
        <f aca="false">IF(C194="","",C194&amp;" - "&amp;D194&amp;IF(E194&lt;&gt;"",", span "&amp;E194&amp;" m","")&amp;IF(F194&lt;&gt;"",", H "&amp;F194&amp;" m","")&amp;IF(G194&lt;&gt;"",", W "&amp;G194&amp;" m",""))</f>
        <v/>
      </c>
      <c r="C194" s="9"/>
      <c r="D194" s="9"/>
      <c r="E194" s="38"/>
      <c r="F194" s="38"/>
      <c r="G194" s="3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37"/>
      <c r="U194" s="38"/>
      <c r="V194" s="39"/>
      <c r="W194" s="39"/>
      <c r="X194" s="9"/>
      <c r="Y194" s="9"/>
      <c r="Z194" s="9"/>
      <c r="AA194" s="9"/>
      <c r="AB194" s="9"/>
      <c r="AC194" s="40"/>
    </row>
    <row r="195" customFormat="false" ht="15" hidden="false" customHeight="false" outlineLevel="0" collapsed="false">
      <c r="A195" s="10" t="str">
        <f aca="false">IF(C195="","",IFERROR(VLOOKUP(C195,Lists!$Y$4:$Z$20,2,0),"??")&amp;"-"&amp;UPPER(SUBSTITUTE(D195," ",""))&amp;IF(E195&lt;&gt;"","-SP"&amp;TEXT(E195*1000,"0"),"")&amp;IF(F195&lt;&gt;"","-H"&amp;TEXT(F195*1000,"0"),"")&amp;"-"&amp;M195)</f>
        <v/>
      </c>
      <c r="B195" s="10" t="str">
        <f aca="false">IF(C195="","",C195&amp;" - "&amp;D195&amp;IF(E195&lt;&gt;"",", span "&amp;E195&amp;" m","")&amp;IF(F195&lt;&gt;"",", H "&amp;F195&amp;" m","")&amp;IF(G195&lt;&gt;"",", W "&amp;G195&amp;" m",""))</f>
        <v/>
      </c>
      <c r="C195" s="9"/>
      <c r="D195" s="9"/>
      <c r="E195" s="38"/>
      <c r="F195" s="38"/>
      <c r="G195" s="3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37"/>
      <c r="U195" s="38"/>
      <c r="V195" s="39"/>
      <c r="W195" s="39"/>
      <c r="X195" s="9"/>
      <c r="Y195" s="9"/>
      <c r="Z195" s="9"/>
      <c r="AA195" s="9"/>
      <c r="AB195" s="9"/>
      <c r="AC195" s="40"/>
    </row>
    <row r="196" customFormat="false" ht="15" hidden="false" customHeight="false" outlineLevel="0" collapsed="false">
      <c r="A196" s="10" t="str">
        <f aca="false">IF(C196="","",IFERROR(VLOOKUP(C196,Lists!$Y$4:$Z$20,2,0),"??")&amp;"-"&amp;UPPER(SUBSTITUTE(D196," ",""))&amp;IF(E196&lt;&gt;"","-SP"&amp;TEXT(E196*1000,"0"),"")&amp;IF(F196&lt;&gt;"","-H"&amp;TEXT(F196*1000,"0"),"")&amp;"-"&amp;M196)</f>
        <v/>
      </c>
      <c r="B196" s="10" t="str">
        <f aca="false">IF(C196="","",C196&amp;" - "&amp;D196&amp;IF(E196&lt;&gt;"",", span "&amp;E196&amp;" m","")&amp;IF(F196&lt;&gt;"",", H "&amp;F196&amp;" m","")&amp;IF(G196&lt;&gt;"",", W "&amp;G196&amp;" m",""))</f>
        <v/>
      </c>
      <c r="C196" s="9"/>
      <c r="D196" s="9"/>
      <c r="E196" s="38"/>
      <c r="F196" s="38"/>
      <c r="G196" s="3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37"/>
      <c r="U196" s="38"/>
      <c r="V196" s="39"/>
      <c r="W196" s="39"/>
      <c r="X196" s="9"/>
      <c r="Y196" s="9"/>
      <c r="Z196" s="9"/>
      <c r="AA196" s="9"/>
      <c r="AB196" s="9"/>
      <c r="AC196" s="40"/>
    </row>
    <row r="197" customFormat="false" ht="15" hidden="false" customHeight="false" outlineLevel="0" collapsed="false">
      <c r="A197" s="10" t="str">
        <f aca="false">IF(C197="","",IFERROR(VLOOKUP(C197,Lists!$Y$4:$Z$20,2,0),"??")&amp;"-"&amp;UPPER(SUBSTITUTE(D197," ",""))&amp;IF(E197&lt;&gt;"","-SP"&amp;TEXT(E197*1000,"0"),"")&amp;IF(F197&lt;&gt;"","-H"&amp;TEXT(F197*1000,"0"),"")&amp;"-"&amp;M197)</f>
        <v/>
      </c>
      <c r="B197" s="10" t="str">
        <f aca="false">IF(C197="","",C197&amp;" - "&amp;D197&amp;IF(E197&lt;&gt;"",", span "&amp;E197&amp;" m","")&amp;IF(F197&lt;&gt;"",", H "&amp;F197&amp;" m","")&amp;IF(G197&lt;&gt;"",", W "&amp;G197&amp;" m",""))</f>
        <v/>
      </c>
      <c r="C197" s="9"/>
      <c r="D197" s="9"/>
      <c r="E197" s="38"/>
      <c r="F197" s="38"/>
      <c r="G197" s="3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37"/>
      <c r="U197" s="38"/>
      <c r="V197" s="39"/>
      <c r="W197" s="39"/>
      <c r="X197" s="9"/>
      <c r="Y197" s="9"/>
      <c r="Z197" s="9"/>
      <c r="AA197" s="9"/>
      <c r="AB197" s="9"/>
      <c r="AC197" s="40"/>
    </row>
    <row r="198" customFormat="false" ht="15" hidden="false" customHeight="false" outlineLevel="0" collapsed="false">
      <c r="A198" s="10" t="str">
        <f aca="false">IF(C198="","",IFERROR(VLOOKUP(C198,Lists!$Y$4:$Z$20,2,0),"??")&amp;"-"&amp;UPPER(SUBSTITUTE(D198," ",""))&amp;IF(E198&lt;&gt;"","-SP"&amp;TEXT(E198*1000,"0"),"")&amp;IF(F198&lt;&gt;"","-H"&amp;TEXT(F198*1000,"0"),"")&amp;"-"&amp;M198)</f>
        <v/>
      </c>
      <c r="B198" s="10" t="str">
        <f aca="false">IF(C198="","",C198&amp;" - "&amp;D198&amp;IF(E198&lt;&gt;"",", span "&amp;E198&amp;" m","")&amp;IF(F198&lt;&gt;"",", H "&amp;F198&amp;" m","")&amp;IF(G198&lt;&gt;"",", W "&amp;G198&amp;" m",""))</f>
        <v/>
      </c>
      <c r="C198" s="9"/>
      <c r="D198" s="9"/>
      <c r="E198" s="38"/>
      <c r="F198" s="38"/>
      <c r="G198" s="3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37"/>
      <c r="U198" s="38"/>
      <c r="V198" s="39"/>
      <c r="W198" s="39"/>
      <c r="X198" s="9"/>
      <c r="Y198" s="9"/>
      <c r="Z198" s="9"/>
      <c r="AA198" s="9"/>
      <c r="AB198" s="9"/>
      <c r="AC198" s="40"/>
    </row>
    <row r="199" customFormat="false" ht="15" hidden="false" customHeight="false" outlineLevel="0" collapsed="false">
      <c r="A199" s="10" t="str">
        <f aca="false">IF(C199="","",IFERROR(VLOOKUP(C199,Lists!$Y$4:$Z$20,2,0),"??")&amp;"-"&amp;UPPER(SUBSTITUTE(D199," ",""))&amp;IF(E199&lt;&gt;"","-SP"&amp;TEXT(E199*1000,"0"),"")&amp;IF(F199&lt;&gt;"","-H"&amp;TEXT(F199*1000,"0"),"")&amp;"-"&amp;M199)</f>
        <v/>
      </c>
      <c r="B199" s="10" t="str">
        <f aca="false">IF(C199="","",C199&amp;" - "&amp;D199&amp;IF(E199&lt;&gt;"",", span "&amp;E199&amp;" m","")&amp;IF(F199&lt;&gt;"",", H "&amp;F199&amp;" m","")&amp;IF(G199&lt;&gt;"",", W "&amp;G199&amp;" m",""))</f>
        <v/>
      </c>
      <c r="C199" s="9"/>
      <c r="D199" s="9"/>
      <c r="E199" s="38"/>
      <c r="F199" s="38"/>
      <c r="G199" s="3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37"/>
      <c r="U199" s="38"/>
      <c r="V199" s="39"/>
      <c r="W199" s="39"/>
      <c r="X199" s="9"/>
      <c r="Y199" s="9"/>
      <c r="Z199" s="9"/>
      <c r="AA199" s="9"/>
      <c r="AB199" s="9"/>
      <c r="AC199" s="40"/>
    </row>
    <row r="200" customFormat="false" ht="15" hidden="false" customHeight="false" outlineLevel="0" collapsed="false">
      <c r="A200" s="10" t="str">
        <f aca="false">IF(C200="","",IFERROR(VLOOKUP(C200,Lists!$Y$4:$Z$20,2,0),"??")&amp;"-"&amp;UPPER(SUBSTITUTE(D200," ",""))&amp;IF(E200&lt;&gt;"","-SP"&amp;TEXT(E200*1000,"0"),"")&amp;IF(F200&lt;&gt;"","-H"&amp;TEXT(F200*1000,"0"),"")&amp;"-"&amp;M200)</f>
        <v/>
      </c>
      <c r="B200" s="10" t="str">
        <f aca="false">IF(C200="","",C200&amp;" - "&amp;D200&amp;IF(E200&lt;&gt;"",", span "&amp;E200&amp;" m","")&amp;IF(F200&lt;&gt;"",", H "&amp;F200&amp;" m","")&amp;IF(G200&lt;&gt;"",", W "&amp;G200&amp;" m",""))</f>
        <v/>
      </c>
      <c r="C200" s="9"/>
      <c r="D200" s="9"/>
      <c r="E200" s="38"/>
      <c r="F200" s="38"/>
      <c r="G200" s="3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37"/>
      <c r="U200" s="38"/>
      <c r="V200" s="39"/>
      <c r="W200" s="39"/>
      <c r="X200" s="9"/>
      <c r="Y200" s="9"/>
      <c r="Z200" s="9"/>
      <c r="AA200" s="9"/>
      <c r="AB200" s="9"/>
      <c r="AC200" s="40"/>
    </row>
    <row r="201" customFormat="false" ht="15" hidden="false" customHeight="false" outlineLevel="0" collapsed="false">
      <c r="A201" s="10" t="str">
        <f aca="false">IF(C201="","",IFERROR(VLOOKUP(C201,Lists!$Y$4:$Z$20,2,0),"??")&amp;"-"&amp;UPPER(SUBSTITUTE(D201," ",""))&amp;IF(E201&lt;&gt;"","-SP"&amp;TEXT(E201*1000,"0"),"")&amp;IF(F201&lt;&gt;"","-H"&amp;TEXT(F201*1000,"0"),"")&amp;"-"&amp;M201)</f>
        <v/>
      </c>
      <c r="B201" s="10" t="str">
        <f aca="false">IF(C201="","",C201&amp;" - "&amp;D201&amp;IF(E201&lt;&gt;"",", span "&amp;E201&amp;" m","")&amp;IF(F201&lt;&gt;"",", H "&amp;F201&amp;" m","")&amp;IF(G201&lt;&gt;"",", W "&amp;G201&amp;" m",""))</f>
        <v/>
      </c>
      <c r="C201" s="9"/>
      <c r="D201" s="9"/>
      <c r="E201" s="38"/>
      <c r="F201" s="38"/>
      <c r="G201" s="3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37"/>
      <c r="U201" s="38"/>
      <c r="V201" s="39"/>
      <c r="W201" s="39"/>
      <c r="X201" s="9"/>
      <c r="Y201" s="9"/>
      <c r="Z201" s="9"/>
      <c r="AA201" s="9"/>
      <c r="AB201" s="9"/>
      <c r="AC201" s="40"/>
    </row>
    <row r="202" customFormat="false" ht="15" hidden="false" customHeight="false" outlineLevel="0" collapsed="false">
      <c r="A202" s="10" t="str">
        <f aca="false">IF(C202="","",IFERROR(VLOOKUP(C202,Lists!$Y$4:$Z$20,2,0),"??")&amp;"-"&amp;UPPER(SUBSTITUTE(D202," ",""))&amp;IF(E202&lt;&gt;"","-SP"&amp;TEXT(E202*1000,"0"),"")&amp;IF(F202&lt;&gt;"","-H"&amp;TEXT(F202*1000,"0"),"")&amp;"-"&amp;M202)</f>
        <v/>
      </c>
      <c r="B202" s="10" t="str">
        <f aca="false">IF(C202="","",C202&amp;" - "&amp;D202&amp;IF(E202&lt;&gt;"",", span "&amp;E202&amp;" m","")&amp;IF(F202&lt;&gt;"",", H "&amp;F202&amp;" m","")&amp;IF(G202&lt;&gt;"",", W "&amp;G202&amp;" m",""))</f>
        <v/>
      </c>
      <c r="C202" s="9"/>
      <c r="D202" s="9"/>
      <c r="E202" s="38"/>
      <c r="F202" s="38"/>
      <c r="G202" s="3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37"/>
      <c r="U202" s="38"/>
      <c r="V202" s="39"/>
      <c r="W202" s="39"/>
      <c r="X202" s="9"/>
      <c r="Y202" s="9"/>
      <c r="Z202" s="9"/>
      <c r="AA202" s="9"/>
      <c r="AB202" s="9"/>
      <c r="AC202" s="40"/>
    </row>
    <row r="203" customFormat="false" ht="15" hidden="false" customHeight="false" outlineLevel="0" collapsed="false">
      <c r="A203" s="10" t="str">
        <f aca="false">IF(C203="","",IFERROR(VLOOKUP(C203,Lists!$Y$4:$Z$20,2,0),"??")&amp;"-"&amp;UPPER(SUBSTITUTE(D203," ",""))&amp;IF(E203&lt;&gt;"","-SP"&amp;TEXT(E203*1000,"0"),"")&amp;IF(F203&lt;&gt;"","-H"&amp;TEXT(F203*1000,"0"),"")&amp;"-"&amp;M203)</f>
        <v/>
      </c>
      <c r="B203" s="10" t="str">
        <f aca="false">IF(C203="","",C203&amp;" - "&amp;D203&amp;IF(E203&lt;&gt;"",", span "&amp;E203&amp;" m","")&amp;IF(F203&lt;&gt;"",", H "&amp;F203&amp;" m","")&amp;IF(G203&lt;&gt;"",", W "&amp;G203&amp;" m",""))</f>
        <v/>
      </c>
      <c r="C203" s="9"/>
      <c r="D203" s="9"/>
      <c r="E203" s="38"/>
      <c r="F203" s="38"/>
      <c r="G203" s="3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37"/>
      <c r="U203" s="38"/>
      <c r="V203" s="39"/>
      <c r="W203" s="39"/>
      <c r="X203" s="9"/>
      <c r="Y203" s="9"/>
      <c r="Z203" s="9"/>
      <c r="AA203" s="9"/>
      <c r="AB203" s="9"/>
      <c r="AC203" s="40"/>
    </row>
    <row r="204" customFormat="false" ht="15" hidden="false" customHeight="false" outlineLevel="0" collapsed="false">
      <c r="A204" s="10" t="str">
        <f aca="false">IF(C204="","",IFERROR(VLOOKUP(C204,Lists!$Y$4:$Z$20,2,0),"??")&amp;"-"&amp;UPPER(SUBSTITUTE(D204," ",""))&amp;IF(E204&lt;&gt;"","-SP"&amp;TEXT(E204*1000,"0"),"")&amp;IF(F204&lt;&gt;"","-H"&amp;TEXT(F204*1000,"0"),"")&amp;"-"&amp;M204)</f>
        <v/>
      </c>
      <c r="B204" s="10" t="str">
        <f aca="false">IF(C204="","",C204&amp;" - "&amp;D204&amp;IF(E204&lt;&gt;"",", span "&amp;E204&amp;" m","")&amp;IF(F204&lt;&gt;"",", H "&amp;F204&amp;" m","")&amp;IF(G204&lt;&gt;"",", W "&amp;G204&amp;" m",""))</f>
        <v/>
      </c>
      <c r="C204" s="9"/>
      <c r="D204" s="9"/>
      <c r="E204" s="38"/>
      <c r="F204" s="38"/>
      <c r="G204" s="3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37"/>
      <c r="U204" s="38"/>
      <c r="V204" s="39"/>
      <c r="W204" s="39"/>
      <c r="X204" s="9"/>
      <c r="Y204" s="9"/>
      <c r="Z204" s="9"/>
      <c r="AA204" s="9"/>
      <c r="AB204" s="9"/>
      <c r="AC204" s="40"/>
    </row>
    <row r="205" customFormat="false" ht="15" hidden="false" customHeight="false" outlineLevel="0" collapsed="false">
      <c r="A205" s="10" t="str">
        <f aca="false">IF(C205="","",IFERROR(VLOOKUP(C205,Lists!$Y$4:$Z$20,2,0),"??")&amp;"-"&amp;UPPER(SUBSTITUTE(D205," ",""))&amp;IF(E205&lt;&gt;"","-SP"&amp;TEXT(E205*1000,"0"),"")&amp;IF(F205&lt;&gt;"","-H"&amp;TEXT(F205*1000,"0"),"")&amp;"-"&amp;M205)</f>
        <v/>
      </c>
      <c r="B205" s="10" t="str">
        <f aca="false">IF(C205="","",C205&amp;" - "&amp;D205&amp;IF(E205&lt;&gt;"",", span "&amp;E205&amp;" m","")&amp;IF(F205&lt;&gt;"",", H "&amp;F205&amp;" m","")&amp;IF(G205&lt;&gt;"",", W "&amp;G205&amp;" m",""))</f>
        <v/>
      </c>
      <c r="C205" s="9"/>
      <c r="D205" s="9"/>
      <c r="E205" s="38"/>
      <c r="F205" s="38"/>
      <c r="G205" s="3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37"/>
      <c r="U205" s="38"/>
      <c r="V205" s="39"/>
      <c r="W205" s="39"/>
      <c r="X205" s="9"/>
      <c r="Y205" s="9"/>
      <c r="Z205" s="9"/>
      <c r="AA205" s="9"/>
      <c r="AB205" s="9"/>
      <c r="AC205" s="40"/>
    </row>
    <row r="206" customFormat="false" ht="15" hidden="false" customHeight="false" outlineLevel="0" collapsed="false">
      <c r="A206" s="10" t="str">
        <f aca="false">IF(C206="","",IFERROR(VLOOKUP(C206,Lists!$Y$4:$Z$20,2,0),"??")&amp;"-"&amp;UPPER(SUBSTITUTE(D206," ",""))&amp;IF(E206&lt;&gt;"","-SP"&amp;TEXT(E206*1000,"0"),"")&amp;IF(F206&lt;&gt;"","-H"&amp;TEXT(F206*1000,"0"),"")&amp;"-"&amp;M206)</f>
        <v/>
      </c>
      <c r="B206" s="10" t="str">
        <f aca="false">IF(C206="","",C206&amp;" - "&amp;D206&amp;IF(E206&lt;&gt;"",", span "&amp;E206&amp;" m","")&amp;IF(F206&lt;&gt;"",", H "&amp;F206&amp;" m","")&amp;IF(G206&lt;&gt;"",", W "&amp;G206&amp;" m",""))</f>
        <v/>
      </c>
      <c r="C206" s="9"/>
      <c r="D206" s="9"/>
      <c r="E206" s="38"/>
      <c r="F206" s="38"/>
      <c r="G206" s="3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37"/>
      <c r="U206" s="38"/>
      <c r="V206" s="39"/>
      <c r="W206" s="39"/>
      <c r="X206" s="9"/>
      <c r="Y206" s="9"/>
      <c r="Z206" s="9"/>
      <c r="AA206" s="9"/>
      <c r="AB206" s="9"/>
      <c r="AC206" s="40"/>
    </row>
    <row r="207" customFormat="false" ht="15" hidden="false" customHeight="false" outlineLevel="0" collapsed="false">
      <c r="A207" s="10" t="str">
        <f aca="false">IF(C207="","",IFERROR(VLOOKUP(C207,Lists!$Y$4:$Z$20,2,0),"??")&amp;"-"&amp;UPPER(SUBSTITUTE(D207," ",""))&amp;IF(E207&lt;&gt;"","-SP"&amp;TEXT(E207*1000,"0"),"")&amp;IF(F207&lt;&gt;"","-H"&amp;TEXT(F207*1000,"0"),"")&amp;"-"&amp;M207)</f>
        <v/>
      </c>
      <c r="B207" s="10" t="str">
        <f aca="false">IF(C207="","",C207&amp;" - "&amp;D207&amp;IF(E207&lt;&gt;"",", span "&amp;E207&amp;" m","")&amp;IF(F207&lt;&gt;"",", H "&amp;F207&amp;" m","")&amp;IF(G207&lt;&gt;"",", W "&amp;G207&amp;" m",""))</f>
        <v/>
      </c>
      <c r="C207" s="9"/>
      <c r="D207" s="9"/>
      <c r="E207" s="38"/>
      <c r="F207" s="38"/>
      <c r="G207" s="3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37"/>
      <c r="U207" s="38"/>
      <c r="V207" s="39"/>
      <c r="W207" s="39"/>
      <c r="X207" s="9"/>
      <c r="Y207" s="9"/>
      <c r="Z207" s="9"/>
      <c r="AA207" s="9"/>
      <c r="AB207" s="9"/>
      <c r="AC207" s="40"/>
    </row>
    <row r="208" customFormat="false" ht="15" hidden="false" customHeight="false" outlineLevel="0" collapsed="false">
      <c r="A208" s="10" t="str">
        <f aca="false">IF(C208="","",IFERROR(VLOOKUP(C208,Lists!$Y$4:$Z$20,2,0),"??")&amp;"-"&amp;UPPER(SUBSTITUTE(D208," ",""))&amp;IF(E208&lt;&gt;"","-SP"&amp;TEXT(E208*1000,"0"),"")&amp;IF(F208&lt;&gt;"","-H"&amp;TEXT(F208*1000,"0"),"")&amp;"-"&amp;M208)</f>
        <v/>
      </c>
      <c r="B208" s="10" t="str">
        <f aca="false">IF(C208="","",C208&amp;" - "&amp;D208&amp;IF(E208&lt;&gt;"",", span "&amp;E208&amp;" m","")&amp;IF(F208&lt;&gt;"",", H "&amp;F208&amp;" m","")&amp;IF(G208&lt;&gt;"",", W "&amp;G208&amp;" m",""))</f>
        <v/>
      </c>
      <c r="C208" s="9"/>
      <c r="D208" s="9"/>
      <c r="E208" s="38"/>
      <c r="F208" s="38"/>
      <c r="G208" s="3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37"/>
      <c r="U208" s="38"/>
      <c r="V208" s="39"/>
      <c r="W208" s="39"/>
      <c r="X208" s="9"/>
      <c r="Y208" s="9"/>
      <c r="Z208" s="9"/>
      <c r="AA208" s="9"/>
      <c r="AB208" s="9"/>
      <c r="AC208" s="40"/>
    </row>
    <row r="209" customFormat="false" ht="15" hidden="false" customHeight="false" outlineLevel="0" collapsed="false">
      <c r="A209" s="10" t="str">
        <f aca="false">IF(C209="","",IFERROR(VLOOKUP(C209,Lists!$Y$4:$Z$20,2,0),"??")&amp;"-"&amp;UPPER(SUBSTITUTE(D209," ",""))&amp;IF(E209&lt;&gt;"","-SP"&amp;TEXT(E209*1000,"0"),"")&amp;IF(F209&lt;&gt;"","-H"&amp;TEXT(F209*1000,"0"),"")&amp;"-"&amp;M209)</f>
        <v/>
      </c>
      <c r="B209" s="10" t="str">
        <f aca="false">IF(C209="","",C209&amp;" - "&amp;D209&amp;IF(E209&lt;&gt;"",", span "&amp;E209&amp;" m","")&amp;IF(F209&lt;&gt;"",", H "&amp;F209&amp;" m","")&amp;IF(G209&lt;&gt;"",", W "&amp;G209&amp;" m",""))</f>
        <v/>
      </c>
      <c r="C209" s="9"/>
      <c r="D209" s="9"/>
      <c r="E209" s="38"/>
      <c r="F209" s="38"/>
      <c r="G209" s="3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37"/>
      <c r="U209" s="38"/>
      <c r="V209" s="39"/>
      <c r="W209" s="39"/>
      <c r="X209" s="9"/>
      <c r="Y209" s="9"/>
      <c r="Z209" s="9"/>
      <c r="AA209" s="9"/>
      <c r="AB209" s="9"/>
      <c r="AC209" s="40"/>
    </row>
    <row r="210" customFormat="false" ht="15" hidden="false" customHeight="false" outlineLevel="0" collapsed="false">
      <c r="A210" s="10" t="str">
        <f aca="false">IF(C210="","",IFERROR(VLOOKUP(C210,Lists!$Y$4:$Z$20,2,0),"??")&amp;"-"&amp;UPPER(SUBSTITUTE(D210," ",""))&amp;IF(E210&lt;&gt;"","-SP"&amp;TEXT(E210*1000,"0"),"")&amp;IF(F210&lt;&gt;"","-H"&amp;TEXT(F210*1000,"0"),"")&amp;"-"&amp;M210)</f>
        <v/>
      </c>
      <c r="B210" s="10" t="str">
        <f aca="false">IF(C210="","",C210&amp;" - "&amp;D210&amp;IF(E210&lt;&gt;"",", span "&amp;E210&amp;" m","")&amp;IF(F210&lt;&gt;"",", H "&amp;F210&amp;" m","")&amp;IF(G210&lt;&gt;"",", W "&amp;G210&amp;" m",""))</f>
        <v/>
      </c>
      <c r="C210" s="9"/>
      <c r="D210" s="9"/>
      <c r="E210" s="38"/>
      <c r="F210" s="38"/>
      <c r="G210" s="3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37"/>
      <c r="U210" s="38"/>
      <c r="V210" s="39"/>
      <c r="W210" s="39"/>
      <c r="X210" s="9"/>
      <c r="Y210" s="9"/>
      <c r="Z210" s="9"/>
      <c r="AA210" s="9"/>
      <c r="AB210" s="9"/>
      <c r="AC210" s="40"/>
    </row>
    <row r="211" customFormat="false" ht="15" hidden="false" customHeight="false" outlineLevel="0" collapsed="false">
      <c r="A211" s="10" t="str">
        <f aca="false">IF(C211="","",IFERROR(VLOOKUP(C211,Lists!$Y$4:$Z$20,2,0),"??")&amp;"-"&amp;UPPER(SUBSTITUTE(D211," ",""))&amp;IF(E211&lt;&gt;"","-SP"&amp;TEXT(E211*1000,"0"),"")&amp;IF(F211&lt;&gt;"","-H"&amp;TEXT(F211*1000,"0"),"")&amp;"-"&amp;M211)</f>
        <v/>
      </c>
      <c r="B211" s="10" t="str">
        <f aca="false">IF(C211="","",C211&amp;" - "&amp;D211&amp;IF(E211&lt;&gt;"",", span "&amp;E211&amp;" m","")&amp;IF(F211&lt;&gt;"",", H "&amp;F211&amp;" m","")&amp;IF(G211&lt;&gt;"",", W "&amp;G211&amp;" m",""))</f>
        <v/>
      </c>
      <c r="C211" s="9"/>
      <c r="D211" s="9"/>
      <c r="E211" s="38"/>
      <c r="F211" s="38"/>
      <c r="G211" s="3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37"/>
      <c r="U211" s="38"/>
      <c r="V211" s="39"/>
      <c r="W211" s="39"/>
      <c r="X211" s="9"/>
      <c r="Y211" s="9"/>
      <c r="Z211" s="9"/>
      <c r="AA211" s="9"/>
      <c r="AB211" s="9"/>
      <c r="AC211" s="40"/>
    </row>
    <row r="212" customFormat="false" ht="15" hidden="false" customHeight="false" outlineLevel="0" collapsed="false">
      <c r="A212" s="10" t="str">
        <f aca="false">IF(C212="","",IFERROR(VLOOKUP(C212,Lists!$Y$4:$Z$20,2,0),"??")&amp;"-"&amp;UPPER(SUBSTITUTE(D212," ",""))&amp;IF(E212&lt;&gt;"","-SP"&amp;TEXT(E212*1000,"0"),"")&amp;IF(F212&lt;&gt;"","-H"&amp;TEXT(F212*1000,"0"),"")&amp;"-"&amp;M212)</f>
        <v/>
      </c>
      <c r="B212" s="10" t="str">
        <f aca="false">IF(C212="","",C212&amp;" - "&amp;D212&amp;IF(E212&lt;&gt;"",", span "&amp;E212&amp;" m","")&amp;IF(F212&lt;&gt;"",", H "&amp;F212&amp;" m","")&amp;IF(G212&lt;&gt;"",", W "&amp;G212&amp;" m",""))</f>
        <v/>
      </c>
      <c r="C212" s="9"/>
      <c r="D212" s="9"/>
      <c r="E212" s="38"/>
      <c r="F212" s="38"/>
      <c r="G212" s="3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37"/>
      <c r="U212" s="38"/>
      <c r="V212" s="39"/>
      <c r="W212" s="39"/>
      <c r="X212" s="9"/>
      <c r="Y212" s="9"/>
      <c r="Z212" s="9"/>
      <c r="AA212" s="9"/>
      <c r="AB212" s="9"/>
      <c r="AC212" s="40"/>
    </row>
    <row r="213" customFormat="false" ht="15" hidden="false" customHeight="false" outlineLevel="0" collapsed="false">
      <c r="A213" s="10" t="str">
        <f aca="false">IF(C213="","",IFERROR(VLOOKUP(C213,Lists!$Y$4:$Z$20,2,0),"??")&amp;"-"&amp;UPPER(SUBSTITUTE(D213," ",""))&amp;IF(E213&lt;&gt;"","-SP"&amp;TEXT(E213*1000,"0"),"")&amp;IF(F213&lt;&gt;"","-H"&amp;TEXT(F213*1000,"0"),"")&amp;"-"&amp;M213)</f>
        <v/>
      </c>
      <c r="B213" s="10" t="str">
        <f aca="false">IF(C213="","",C213&amp;" - "&amp;D213&amp;IF(E213&lt;&gt;"",", span "&amp;E213&amp;" m","")&amp;IF(F213&lt;&gt;"",", H "&amp;F213&amp;" m","")&amp;IF(G213&lt;&gt;"",", W "&amp;G213&amp;" m",""))</f>
        <v/>
      </c>
      <c r="C213" s="9"/>
      <c r="D213" s="9"/>
      <c r="E213" s="38"/>
      <c r="F213" s="38"/>
      <c r="G213" s="3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37"/>
      <c r="U213" s="38"/>
      <c r="V213" s="39"/>
      <c r="W213" s="39"/>
      <c r="X213" s="9"/>
      <c r="Y213" s="9"/>
      <c r="Z213" s="9"/>
      <c r="AA213" s="9"/>
      <c r="AB213" s="9"/>
      <c r="AC213" s="40"/>
    </row>
    <row r="214" customFormat="false" ht="15" hidden="false" customHeight="false" outlineLevel="0" collapsed="false">
      <c r="A214" s="10" t="str">
        <f aca="false">IF(C214="","",IFERROR(VLOOKUP(C214,Lists!$Y$4:$Z$20,2,0),"??")&amp;"-"&amp;UPPER(SUBSTITUTE(D214," ",""))&amp;IF(E214&lt;&gt;"","-SP"&amp;TEXT(E214*1000,"0"),"")&amp;IF(F214&lt;&gt;"","-H"&amp;TEXT(F214*1000,"0"),"")&amp;"-"&amp;M214)</f>
        <v/>
      </c>
      <c r="B214" s="10" t="str">
        <f aca="false">IF(C214="","",C214&amp;" - "&amp;D214&amp;IF(E214&lt;&gt;"",", span "&amp;E214&amp;" m","")&amp;IF(F214&lt;&gt;"",", H "&amp;F214&amp;" m","")&amp;IF(G214&lt;&gt;"",", W "&amp;G214&amp;" m",""))</f>
        <v/>
      </c>
      <c r="C214" s="9"/>
      <c r="D214" s="9"/>
      <c r="E214" s="38"/>
      <c r="F214" s="38"/>
      <c r="G214" s="3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37"/>
      <c r="U214" s="38"/>
      <c r="V214" s="39"/>
      <c r="W214" s="39"/>
      <c r="X214" s="9"/>
      <c r="Y214" s="9"/>
      <c r="Z214" s="9"/>
      <c r="AA214" s="9"/>
      <c r="AB214" s="9"/>
      <c r="AC214" s="40"/>
    </row>
    <row r="215" customFormat="false" ht="15" hidden="false" customHeight="false" outlineLevel="0" collapsed="false">
      <c r="A215" s="10" t="str">
        <f aca="false">IF(C215="","",IFERROR(VLOOKUP(C215,Lists!$Y$4:$Z$20,2,0),"??")&amp;"-"&amp;UPPER(SUBSTITUTE(D215," ",""))&amp;IF(E215&lt;&gt;"","-SP"&amp;TEXT(E215*1000,"0"),"")&amp;IF(F215&lt;&gt;"","-H"&amp;TEXT(F215*1000,"0"),"")&amp;"-"&amp;M215)</f>
        <v/>
      </c>
      <c r="B215" s="10" t="str">
        <f aca="false">IF(C215="","",C215&amp;" - "&amp;D215&amp;IF(E215&lt;&gt;"",", span "&amp;E215&amp;" m","")&amp;IF(F215&lt;&gt;"",", H "&amp;F215&amp;" m","")&amp;IF(G215&lt;&gt;"",", W "&amp;G215&amp;" m",""))</f>
        <v/>
      </c>
      <c r="C215" s="9"/>
      <c r="D215" s="9"/>
      <c r="E215" s="38"/>
      <c r="F215" s="38"/>
      <c r="G215" s="3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37"/>
      <c r="U215" s="38"/>
      <c r="V215" s="39"/>
      <c r="W215" s="39"/>
      <c r="X215" s="9"/>
      <c r="Y215" s="9"/>
      <c r="Z215" s="9"/>
      <c r="AA215" s="9"/>
      <c r="AB215" s="9"/>
      <c r="AC215" s="40"/>
    </row>
    <row r="216" customFormat="false" ht="15" hidden="false" customHeight="false" outlineLevel="0" collapsed="false">
      <c r="A216" s="10" t="str">
        <f aca="false">IF(C216="","",IFERROR(VLOOKUP(C216,Lists!$Y$4:$Z$20,2,0),"??")&amp;"-"&amp;UPPER(SUBSTITUTE(D216," ",""))&amp;IF(E216&lt;&gt;"","-SP"&amp;TEXT(E216*1000,"0"),"")&amp;IF(F216&lt;&gt;"","-H"&amp;TEXT(F216*1000,"0"),"")&amp;"-"&amp;M216)</f>
        <v/>
      </c>
      <c r="B216" s="10" t="str">
        <f aca="false">IF(C216="","",C216&amp;" - "&amp;D216&amp;IF(E216&lt;&gt;"",", span "&amp;E216&amp;" m","")&amp;IF(F216&lt;&gt;"",", H "&amp;F216&amp;" m","")&amp;IF(G216&lt;&gt;"",", W "&amp;G216&amp;" m",""))</f>
        <v/>
      </c>
      <c r="C216" s="9"/>
      <c r="D216" s="9"/>
      <c r="E216" s="38"/>
      <c r="F216" s="38"/>
      <c r="G216" s="3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37"/>
      <c r="U216" s="38"/>
      <c r="V216" s="39"/>
      <c r="W216" s="39"/>
      <c r="X216" s="9"/>
      <c r="Y216" s="9"/>
      <c r="Z216" s="9"/>
      <c r="AA216" s="9"/>
      <c r="AB216" s="9"/>
      <c r="AC216" s="40"/>
    </row>
    <row r="217" customFormat="false" ht="15" hidden="false" customHeight="false" outlineLevel="0" collapsed="false">
      <c r="A217" s="10" t="str">
        <f aca="false">IF(C217="","",IFERROR(VLOOKUP(C217,Lists!$Y$4:$Z$20,2,0),"??")&amp;"-"&amp;UPPER(SUBSTITUTE(D217," ",""))&amp;IF(E217&lt;&gt;"","-SP"&amp;TEXT(E217*1000,"0"),"")&amp;IF(F217&lt;&gt;"","-H"&amp;TEXT(F217*1000,"0"),"")&amp;"-"&amp;M217)</f>
        <v/>
      </c>
      <c r="B217" s="10" t="str">
        <f aca="false">IF(C217="","",C217&amp;" - "&amp;D217&amp;IF(E217&lt;&gt;"",", span "&amp;E217&amp;" m","")&amp;IF(F217&lt;&gt;"",", H "&amp;F217&amp;" m","")&amp;IF(G217&lt;&gt;"",", W "&amp;G217&amp;" m",""))</f>
        <v/>
      </c>
      <c r="C217" s="9"/>
      <c r="D217" s="9"/>
      <c r="E217" s="38"/>
      <c r="F217" s="38"/>
      <c r="G217" s="3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37"/>
      <c r="U217" s="38"/>
      <c r="V217" s="39"/>
      <c r="W217" s="39"/>
      <c r="X217" s="9"/>
      <c r="Y217" s="9"/>
      <c r="Z217" s="9"/>
      <c r="AA217" s="9"/>
      <c r="AB217" s="9"/>
      <c r="AC217" s="40"/>
    </row>
    <row r="218" customFormat="false" ht="15" hidden="false" customHeight="false" outlineLevel="0" collapsed="false">
      <c r="A218" s="10" t="str">
        <f aca="false">IF(C218="","",IFERROR(VLOOKUP(C218,Lists!$Y$4:$Z$20,2,0),"??")&amp;"-"&amp;UPPER(SUBSTITUTE(D218," ",""))&amp;IF(E218&lt;&gt;"","-SP"&amp;TEXT(E218*1000,"0"),"")&amp;IF(F218&lt;&gt;"","-H"&amp;TEXT(F218*1000,"0"),"")&amp;"-"&amp;M218)</f>
        <v/>
      </c>
      <c r="B218" s="10" t="str">
        <f aca="false">IF(C218="","",C218&amp;" - "&amp;D218&amp;IF(E218&lt;&gt;"",", span "&amp;E218&amp;" m","")&amp;IF(F218&lt;&gt;"",", H "&amp;F218&amp;" m","")&amp;IF(G218&lt;&gt;"",", W "&amp;G218&amp;" m",""))</f>
        <v/>
      </c>
      <c r="C218" s="9"/>
      <c r="D218" s="9"/>
      <c r="E218" s="38"/>
      <c r="F218" s="38"/>
      <c r="G218" s="3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37"/>
      <c r="U218" s="38"/>
      <c r="V218" s="39"/>
      <c r="W218" s="39"/>
      <c r="X218" s="9"/>
      <c r="Y218" s="9"/>
      <c r="Z218" s="9"/>
      <c r="AA218" s="9"/>
      <c r="AB218" s="9"/>
      <c r="AC218" s="40"/>
    </row>
    <row r="219" customFormat="false" ht="15" hidden="false" customHeight="false" outlineLevel="0" collapsed="false">
      <c r="A219" s="10" t="str">
        <f aca="false">IF(C219="","",IFERROR(VLOOKUP(C219,Lists!$Y$4:$Z$20,2,0),"??")&amp;"-"&amp;UPPER(SUBSTITUTE(D219," ",""))&amp;IF(E219&lt;&gt;"","-SP"&amp;TEXT(E219*1000,"0"),"")&amp;IF(F219&lt;&gt;"","-H"&amp;TEXT(F219*1000,"0"),"")&amp;"-"&amp;M219)</f>
        <v/>
      </c>
      <c r="B219" s="10" t="str">
        <f aca="false">IF(C219="","",C219&amp;" - "&amp;D219&amp;IF(E219&lt;&gt;"",", span "&amp;E219&amp;" m","")&amp;IF(F219&lt;&gt;"",", H "&amp;F219&amp;" m","")&amp;IF(G219&lt;&gt;"",", W "&amp;G219&amp;" m",""))</f>
        <v/>
      </c>
      <c r="C219" s="9"/>
      <c r="D219" s="9"/>
      <c r="E219" s="38"/>
      <c r="F219" s="38"/>
      <c r="G219" s="3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37"/>
      <c r="U219" s="38"/>
      <c r="V219" s="39"/>
      <c r="W219" s="39"/>
      <c r="X219" s="9"/>
      <c r="Y219" s="9"/>
      <c r="Z219" s="9"/>
      <c r="AA219" s="9"/>
      <c r="AB219" s="9"/>
      <c r="AC219" s="40"/>
    </row>
    <row r="220" customFormat="false" ht="15" hidden="false" customHeight="false" outlineLevel="0" collapsed="false">
      <c r="A220" s="10" t="str">
        <f aca="false">IF(C220="","",IFERROR(VLOOKUP(C220,Lists!$Y$4:$Z$20,2,0),"??")&amp;"-"&amp;UPPER(SUBSTITUTE(D220," ",""))&amp;IF(E220&lt;&gt;"","-SP"&amp;TEXT(E220*1000,"0"),"")&amp;IF(F220&lt;&gt;"","-H"&amp;TEXT(F220*1000,"0"),"")&amp;"-"&amp;M220)</f>
        <v/>
      </c>
      <c r="B220" s="10" t="str">
        <f aca="false">IF(C220="","",C220&amp;" - "&amp;D220&amp;IF(E220&lt;&gt;"",", span "&amp;E220&amp;" m","")&amp;IF(F220&lt;&gt;"",", H "&amp;F220&amp;" m","")&amp;IF(G220&lt;&gt;"",", W "&amp;G220&amp;" m",""))</f>
        <v/>
      </c>
      <c r="C220" s="9"/>
      <c r="D220" s="9"/>
      <c r="E220" s="38"/>
      <c r="F220" s="38"/>
      <c r="G220" s="3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37"/>
      <c r="U220" s="38"/>
      <c r="V220" s="39"/>
      <c r="W220" s="39"/>
      <c r="X220" s="9"/>
      <c r="Y220" s="9"/>
      <c r="Z220" s="9"/>
      <c r="AA220" s="9"/>
      <c r="AB220" s="9"/>
      <c r="AC220" s="40"/>
    </row>
    <row r="221" customFormat="false" ht="15" hidden="false" customHeight="false" outlineLevel="0" collapsed="false">
      <c r="A221" s="10" t="str">
        <f aca="false">IF(C221="","",IFERROR(VLOOKUP(C221,Lists!$Y$4:$Z$20,2,0),"??")&amp;"-"&amp;UPPER(SUBSTITUTE(D221," ",""))&amp;IF(E221&lt;&gt;"","-SP"&amp;TEXT(E221*1000,"0"),"")&amp;IF(F221&lt;&gt;"","-H"&amp;TEXT(F221*1000,"0"),"")&amp;"-"&amp;M221)</f>
        <v/>
      </c>
      <c r="B221" s="10" t="str">
        <f aca="false">IF(C221="","",C221&amp;" - "&amp;D221&amp;IF(E221&lt;&gt;"",", span "&amp;E221&amp;" m","")&amp;IF(F221&lt;&gt;"",", H "&amp;F221&amp;" m","")&amp;IF(G221&lt;&gt;"",", W "&amp;G221&amp;" m",""))</f>
        <v/>
      </c>
      <c r="C221" s="9"/>
      <c r="D221" s="9"/>
      <c r="E221" s="38"/>
      <c r="F221" s="38"/>
      <c r="G221" s="38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37"/>
      <c r="U221" s="38"/>
      <c r="V221" s="39"/>
      <c r="W221" s="39"/>
      <c r="X221" s="9"/>
      <c r="Y221" s="9"/>
      <c r="Z221" s="9"/>
      <c r="AA221" s="9"/>
      <c r="AB221" s="9"/>
      <c r="AC221" s="40"/>
    </row>
    <row r="222" customFormat="false" ht="15" hidden="false" customHeight="false" outlineLevel="0" collapsed="false">
      <c r="A222" s="10" t="str">
        <f aca="false">IF(C222="","",IFERROR(VLOOKUP(C222,Lists!$Y$4:$Z$20,2,0),"??")&amp;"-"&amp;UPPER(SUBSTITUTE(D222," ",""))&amp;IF(E222&lt;&gt;"","-SP"&amp;TEXT(E222*1000,"0"),"")&amp;IF(F222&lt;&gt;"","-H"&amp;TEXT(F222*1000,"0"),"")&amp;"-"&amp;M222)</f>
        <v/>
      </c>
      <c r="B222" s="10" t="str">
        <f aca="false">IF(C222="","",C222&amp;" - "&amp;D222&amp;IF(E222&lt;&gt;"",", span "&amp;E222&amp;" m","")&amp;IF(F222&lt;&gt;"",", H "&amp;F222&amp;" m","")&amp;IF(G222&lt;&gt;"",", W "&amp;G222&amp;" m",""))</f>
        <v/>
      </c>
      <c r="C222" s="9"/>
      <c r="D222" s="9"/>
      <c r="E222" s="38"/>
      <c r="F222" s="38"/>
      <c r="G222" s="38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37"/>
      <c r="U222" s="38"/>
      <c r="V222" s="39"/>
      <c r="W222" s="39"/>
      <c r="X222" s="9"/>
      <c r="Y222" s="9"/>
      <c r="Z222" s="9"/>
      <c r="AA222" s="9"/>
      <c r="AB222" s="9"/>
      <c r="AC222" s="40"/>
    </row>
    <row r="223" customFormat="false" ht="15" hidden="false" customHeight="false" outlineLevel="0" collapsed="false">
      <c r="A223" s="10" t="str">
        <f aca="false">IF(C223="","",IFERROR(VLOOKUP(C223,Lists!$Y$4:$Z$20,2,0),"??")&amp;"-"&amp;UPPER(SUBSTITUTE(D223," ",""))&amp;IF(E223&lt;&gt;"","-SP"&amp;TEXT(E223*1000,"0"),"")&amp;IF(F223&lt;&gt;"","-H"&amp;TEXT(F223*1000,"0"),"")&amp;"-"&amp;M223)</f>
        <v/>
      </c>
      <c r="B223" s="10" t="str">
        <f aca="false">IF(C223="","",C223&amp;" - "&amp;D223&amp;IF(E223&lt;&gt;"",", span "&amp;E223&amp;" m","")&amp;IF(F223&lt;&gt;"",", H "&amp;F223&amp;" m","")&amp;IF(G223&lt;&gt;"",", W "&amp;G223&amp;" m",""))</f>
        <v/>
      </c>
      <c r="C223" s="9"/>
      <c r="D223" s="9"/>
      <c r="E223" s="38"/>
      <c r="F223" s="38"/>
      <c r="G223" s="38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37"/>
      <c r="U223" s="38"/>
      <c r="V223" s="39"/>
      <c r="W223" s="39"/>
      <c r="X223" s="9"/>
      <c r="Y223" s="9"/>
      <c r="Z223" s="9"/>
      <c r="AA223" s="9"/>
      <c r="AB223" s="9"/>
      <c r="AC223" s="40"/>
    </row>
    <row r="224" customFormat="false" ht="15" hidden="false" customHeight="false" outlineLevel="0" collapsed="false">
      <c r="A224" s="10" t="str">
        <f aca="false">IF(C224="","",IFERROR(VLOOKUP(C224,Lists!$Y$4:$Z$20,2,0),"??")&amp;"-"&amp;UPPER(SUBSTITUTE(D224," ",""))&amp;IF(E224&lt;&gt;"","-SP"&amp;TEXT(E224*1000,"0"),"")&amp;IF(F224&lt;&gt;"","-H"&amp;TEXT(F224*1000,"0"),"")&amp;"-"&amp;M224)</f>
        <v/>
      </c>
      <c r="B224" s="10" t="str">
        <f aca="false">IF(C224="","",C224&amp;" - "&amp;D224&amp;IF(E224&lt;&gt;"",", span "&amp;E224&amp;" m","")&amp;IF(F224&lt;&gt;"",", H "&amp;F224&amp;" m","")&amp;IF(G224&lt;&gt;"",", W "&amp;G224&amp;" m",""))</f>
        <v/>
      </c>
      <c r="C224" s="9"/>
      <c r="D224" s="9"/>
      <c r="E224" s="38"/>
      <c r="F224" s="38"/>
      <c r="G224" s="38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37"/>
      <c r="U224" s="38"/>
      <c r="V224" s="39"/>
      <c r="W224" s="39"/>
      <c r="X224" s="9"/>
      <c r="Y224" s="9"/>
      <c r="Z224" s="9"/>
      <c r="AA224" s="9"/>
      <c r="AB224" s="9"/>
      <c r="AC224" s="40"/>
    </row>
    <row r="225" customFormat="false" ht="15" hidden="false" customHeight="false" outlineLevel="0" collapsed="false">
      <c r="A225" s="10" t="str">
        <f aca="false">IF(C225="","",IFERROR(VLOOKUP(C225,Lists!$Y$4:$Z$20,2,0),"??")&amp;"-"&amp;UPPER(SUBSTITUTE(D225," ",""))&amp;IF(E225&lt;&gt;"","-SP"&amp;TEXT(E225*1000,"0"),"")&amp;IF(F225&lt;&gt;"","-H"&amp;TEXT(F225*1000,"0"),"")&amp;"-"&amp;M225)</f>
        <v/>
      </c>
      <c r="B225" s="10" t="str">
        <f aca="false">IF(C225="","",C225&amp;" - "&amp;D225&amp;IF(E225&lt;&gt;"",", span "&amp;E225&amp;" m","")&amp;IF(F225&lt;&gt;"",", H "&amp;F225&amp;" m","")&amp;IF(G225&lt;&gt;"",", W "&amp;G225&amp;" m",""))</f>
        <v/>
      </c>
      <c r="C225" s="9"/>
      <c r="D225" s="9"/>
      <c r="E225" s="38"/>
      <c r="F225" s="38"/>
      <c r="G225" s="38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37"/>
      <c r="U225" s="38"/>
      <c r="V225" s="39"/>
      <c r="W225" s="39"/>
      <c r="X225" s="9"/>
      <c r="Y225" s="9"/>
      <c r="Z225" s="9"/>
      <c r="AA225" s="9"/>
      <c r="AB225" s="9"/>
      <c r="AC225" s="40"/>
    </row>
    <row r="226" customFormat="false" ht="15" hidden="false" customHeight="false" outlineLevel="0" collapsed="false">
      <c r="A226" s="10" t="str">
        <f aca="false">IF(C226="","",IFERROR(VLOOKUP(C226,Lists!$Y$4:$Z$20,2,0),"??")&amp;"-"&amp;UPPER(SUBSTITUTE(D226," ",""))&amp;IF(E226&lt;&gt;"","-SP"&amp;TEXT(E226*1000,"0"),"")&amp;IF(F226&lt;&gt;"","-H"&amp;TEXT(F226*1000,"0"),"")&amp;"-"&amp;M226)</f>
        <v/>
      </c>
      <c r="B226" s="10" t="str">
        <f aca="false">IF(C226="","",C226&amp;" - "&amp;D226&amp;IF(E226&lt;&gt;"",", span "&amp;E226&amp;" m","")&amp;IF(F226&lt;&gt;"",", H "&amp;F226&amp;" m","")&amp;IF(G226&lt;&gt;"",", W "&amp;G226&amp;" m",""))</f>
        <v/>
      </c>
      <c r="C226" s="9"/>
      <c r="D226" s="9"/>
      <c r="E226" s="38"/>
      <c r="F226" s="38"/>
      <c r="G226" s="38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37"/>
      <c r="U226" s="38"/>
      <c r="V226" s="39"/>
      <c r="W226" s="39"/>
      <c r="X226" s="9"/>
      <c r="Y226" s="9"/>
      <c r="Z226" s="9"/>
      <c r="AA226" s="9"/>
      <c r="AB226" s="9"/>
      <c r="AC226" s="40"/>
    </row>
    <row r="227" customFormat="false" ht="15" hidden="false" customHeight="false" outlineLevel="0" collapsed="false">
      <c r="A227" s="10" t="str">
        <f aca="false">IF(C227="","",IFERROR(VLOOKUP(C227,Lists!$Y$4:$Z$20,2,0),"??")&amp;"-"&amp;UPPER(SUBSTITUTE(D227," ",""))&amp;IF(E227&lt;&gt;"","-SP"&amp;TEXT(E227*1000,"0"),"")&amp;IF(F227&lt;&gt;"","-H"&amp;TEXT(F227*1000,"0"),"")&amp;"-"&amp;M227)</f>
        <v/>
      </c>
      <c r="B227" s="10" t="str">
        <f aca="false">IF(C227="","",C227&amp;" - "&amp;D227&amp;IF(E227&lt;&gt;"",", span "&amp;E227&amp;" m","")&amp;IF(F227&lt;&gt;"",", H "&amp;F227&amp;" m","")&amp;IF(G227&lt;&gt;"",", W "&amp;G227&amp;" m",""))</f>
        <v/>
      </c>
      <c r="C227" s="9"/>
      <c r="D227" s="9"/>
      <c r="E227" s="38"/>
      <c r="F227" s="38"/>
      <c r="G227" s="38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37"/>
      <c r="U227" s="38"/>
      <c r="V227" s="39"/>
      <c r="W227" s="39"/>
      <c r="X227" s="9"/>
      <c r="Y227" s="9"/>
      <c r="Z227" s="9"/>
      <c r="AA227" s="9"/>
      <c r="AB227" s="9"/>
      <c r="AC227" s="40"/>
    </row>
    <row r="228" customFormat="false" ht="15" hidden="false" customHeight="false" outlineLevel="0" collapsed="false">
      <c r="A228" s="10" t="str">
        <f aca="false">IF(C228="","",IFERROR(VLOOKUP(C228,Lists!$Y$4:$Z$20,2,0),"??")&amp;"-"&amp;UPPER(SUBSTITUTE(D228," ",""))&amp;IF(E228&lt;&gt;"","-SP"&amp;TEXT(E228*1000,"0"),"")&amp;IF(F228&lt;&gt;"","-H"&amp;TEXT(F228*1000,"0"),"")&amp;"-"&amp;M228)</f>
        <v/>
      </c>
      <c r="B228" s="10" t="str">
        <f aca="false">IF(C228="","",C228&amp;" - "&amp;D228&amp;IF(E228&lt;&gt;"",", span "&amp;E228&amp;" m","")&amp;IF(F228&lt;&gt;"",", H "&amp;F228&amp;" m","")&amp;IF(G228&lt;&gt;"",", W "&amp;G228&amp;" m",""))</f>
        <v/>
      </c>
      <c r="C228" s="9"/>
      <c r="D228" s="9"/>
      <c r="E228" s="38"/>
      <c r="F228" s="38"/>
      <c r="G228" s="38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37"/>
      <c r="U228" s="38"/>
      <c r="V228" s="39"/>
      <c r="W228" s="39"/>
      <c r="X228" s="9"/>
      <c r="Y228" s="9"/>
      <c r="Z228" s="9"/>
      <c r="AA228" s="9"/>
      <c r="AB228" s="9"/>
      <c r="AC228" s="40"/>
    </row>
    <row r="229" customFormat="false" ht="15" hidden="false" customHeight="false" outlineLevel="0" collapsed="false">
      <c r="A229" s="10" t="str">
        <f aca="false">IF(C229="","",IFERROR(VLOOKUP(C229,Lists!$Y$4:$Z$20,2,0),"??")&amp;"-"&amp;UPPER(SUBSTITUTE(D229," ",""))&amp;IF(E229&lt;&gt;"","-SP"&amp;TEXT(E229*1000,"0"),"")&amp;IF(F229&lt;&gt;"","-H"&amp;TEXT(F229*1000,"0"),"")&amp;"-"&amp;M229)</f>
        <v/>
      </c>
      <c r="B229" s="10" t="str">
        <f aca="false">IF(C229="","",C229&amp;" - "&amp;D229&amp;IF(E229&lt;&gt;"",", span "&amp;E229&amp;" m","")&amp;IF(F229&lt;&gt;"",", H "&amp;F229&amp;" m","")&amp;IF(G229&lt;&gt;"",", W "&amp;G229&amp;" m",""))</f>
        <v/>
      </c>
      <c r="C229" s="9"/>
      <c r="D229" s="9"/>
      <c r="E229" s="38"/>
      <c r="F229" s="38"/>
      <c r="G229" s="38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37"/>
      <c r="U229" s="38"/>
      <c r="V229" s="39"/>
      <c r="W229" s="39"/>
      <c r="X229" s="9"/>
      <c r="Y229" s="9"/>
      <c r="Z229" s="9"/>
      <c r="AA229" s="9"/>
      <c r="AB229" s="9"/>
      <c r="AC229" s="40"/>
    </row>
    <row r="230" customFormat="false" ht="15" hidden="false" customHeight="false" outlineLevel="0" collapsed="false">
      <c r="A230" s="10" t="str">
        <f aca="false">IF(C230="","",IFERROR(VLOOKUP(C230,Lists!$Y$4:$Z$20,2,0),"??")&amp;"-"&amp;UPPER(SUBSTITUTE(D230," ",""))&amp;IF(E230&lt;&gt;"","-SP"&amp;TEXT(E230*1000,"0"),"")&amp;IF(F230&lt;&gt;"","-H"&amp;TEXT(F230*1000,"0"),"")&amp;"-"&amp;M230)</f>
        <v/>
      </c>
      <c r="B230" s="10" t="str">
        <f aca="false">IF(C230="","",C230&amp;" - "&amp;D230&amp;IF(E230&lt;&gt;"",", span "&amp;E230&amp;" m","")&amp;IF(F230&lt;&gt;"",", H "&amp;F230&amp;" m","")&amp;IF(G230&lt;&gt;"",", W "&amp;G230&amp;" m",""))</f>
        <v/>
      </c>
      <c r="C230" s="9"/>
      <c r="D230" s="9"/>
      <c r="E230" s="38"/>
      <c r="F230" s="38"/>
      <c r="G230" s="38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37"/>
      <c r="U230" s="38"/>
      <c r="V230" s="39"/>
      <c r="W230" s="39"/>
      <c r="X230" s="9"/>
      <c r="Y230" s="9"/>
      <c r="Z230" s="9"/>
      <c r="AA230" s="9"/>
      <c r="AB230" s="9"/>
      <c r="AC230" s="40"/>
    </row>
    <row r="231" customFormat="false" ht="15" hidden="false" customHeight="false" outlineLevel="0" collapsed="false">
      <c r="A231" s="10" t="str">
        <f aca="false">IF(C231="","",IFERROR(VLOOKUP(C231,Lists!$Y$4:$Z$20,2,0),"??")&amp;"-"&amp;UPPER(SUBSTITUTE(D231," ",""))&amp;IF(E231&lt;&gt;"","-SP"&amp;TEXT(E231*1000,"0"),"")&amp;IF(F231&lt;&gt;"","-H"&amp;TEXT(F231*1000,"0"),"")&amp;"-"&amp;M231)</f>
        <v/>
      </c>
      <c r="B231" s="10" t="str">
        <f aca="false">IF(C231="","",C231&amp;" - "&amp;D231&amp;IF(E231&lt;&gt;"",", span "&amp;E231&amp;" m","")&amp;IF(F231&lt;&gt;"",", H "&amp;F231&amp;" m","")&amp;IF(G231&lt;&gt;"",", W "&amp;G231&amp;" m",""))</f>
        <v/>
      </c>
      <c r="C231" s="9"/>
      <c r="D231" s="9"/>
      <c r="E231" s="38"/>
      <c r="F231" s="38"/>
      <c r="G231" s="38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37"/>
      <c r="U231" s="38"/>
      <c r="V231" s="39"/>
      <c r="W231" s="39"/>
      <c r="X231" s="9"/>
      <c r="Y231" s="9"/>
      <c r="Z231" s="9"/>
      <c r="AA231" s="9"/>
      <c r="AB231" s="9"/>
      <c r="AC231" s="40"/>
    </row>
    <row r="232" customFormat="false" ht="15" hidden="false" customHeight="false" outlineLevel="0" collapsed="false">
      <c r="A232" s="10" t="str">
        <f aca="false">IF(C232="","",IFERROR(VLOOKUP(C232,Lists!$Y$4:$Z$20,2,0),"??")&amp;"-"&amp;UPPER(SUBSTITUTE(D232," ",""))&amp;IF(E232&lt;&gt;"","-SP"&amp;TEXT(E232*1000,"0"),"")&amp;IF(F232&lt;&gt;"","-H"&amp;TEXT(F232*1000,"0"),"")&amp;"-"&amp;M232)</f>
        <v/>
      </c>
      <c r="B232" s="10" t="str">
        <f aca="false">IF(C232="","",C232&amp;" - "&amp;D232&amp;IF(E232&lt;&gt;"",", span "&amp;E232&amp;" m","")&amp;IF(F232&lt;&gt;"",", H "&amp;F232&amp;" m","")&amp;IF(G232&lt;&gt;"",", W "&amp;G232&amp;" m",""))</f>
        <v/>
      </c>
      <c r="C232" s="9"/>
      <c r="D232" s="9"/>
      <c r="E232" s="38"/>
      <c r="F232" s="38"/>
      <c r="G232" s="38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37"/>
      <c r="U232" s="38"/>
      <c r="V232" s="39"/>
      <c r="W232" s="39"/>
      <c r="X232" s="9"/>
      <c r="Y232" s="9"/>
      <c r="Z232" s="9"/>
      <c r="AA232" s="9"/>
      <c r="AB232" s="9"/>
      <c r="AC232" s="40"/>
    </row>
    <row r="233" customFormat="false" ht="15" hidden="false" customHeight="false" outlineLevel="0" collapsed="false">
      <c r="A233" s="10" t="str">
        <f aca="false">IF(C233="","",IFERROR(VLOOKUP(C233,Lists!$Y$4:$Z$20,2,0),"??")&amp;"-"&amp;UPPER(SUBSTITUTE(D233," ",""))&amp;IF(E233&lt;&gt;"","-SP"&amp;TEXT(E233*1000,"0"),"")&amp;IF(F233&lt;&gt;"","-H"&amp;TEXT(F233*1000,"0"),"")&amp;"-"&amp;M233)</f>
        <v/>
      </c>
      <c r="B233" s="10" t="str">
        <f aca="false">IF(C233="","",C233&amp;" - "&amp;D233&amp;IF(E233&lt;&gt;"",", span "&amp;E233&amp;" m","")&amp;IF(F233&lt;&gt;"",", H "&amp;F233&amp;" m","")&amp;IF(G233&lt;&gt;"",", W "&amp;G233&amp;" m",""))</f>
        <v/>
      </c>
      <c r="C233" s="9"/>
      <c r="D233" s="9"/>
      <c r="E233" s="38"/>
      <c r="F233" s="38"/>
      <c r="G233" s="38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37"/>
      <c r="U233" s="38"/>
      <c r="V233" s="39"/>
      <c r="W233" s="39"/>
      <c r="X233" s="9"/>
      <c r="Y233" s="9"/>
      <c r="Z233" s="9"/>
      <c r="AA233" s="9"/>
      <c r="AB233" s="9"/>
      <c r="AC233" s="40"/>
    </row>
    <row r="234" customFormat="false" ht="15" hidden="false" customHeight="false" outlineLevel="0" collapsed="false">
      <c r="A234" s="10" t="str">
        <f aca="false">IF(C234="","",IFERROR(VLOOKUP(C234,Lists!$Y$4:$Z$20,2,0),"??")&amp;"-"&amp;UPPER(SUBSTITUTE(D234," ",""))&amp;IF(E234&lt;&gt;"","-SP"&amp;TEXT(E234*1000,"0"),"")&amp;IF(F234&lt;&gt;"","-H"&amp;TEXT(F234*1000,"0"),"")&amp;"-"&amp;M234)</f>
        <v/>
      </c>
      <c r="B234" s="10" t="str">
        <f aca="false">IF(C234="","",C234&amp;" - "&amp;D234&amp;IF(E234&lt;&gt;"",", span "&amp;E234&amp;" m","")&amp;IF(F234&lt;&gt;"",", H "&amp;F234&amp;" m","")&amp;IF(G234&lt;&gt;"",", W "&amp;G234&amp;" m",""))</f>
        <v/>
      </c>
      <c r="C234" s="9"/>
      <c r="D234" s="9"/>
      <c r="E234" s="38"/>
      <c r="F234" s="38"/>
      <c r="G234" s="38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37"/>
      <c r="U234" s="38"/>
      <c r="V234" s="39"/>
      <c r="W234" s="39"/>
      <c r="X234" s="9"/>
      <c r="Y234" s="9"/>
      <c r="Z234" s="9"/>
      <c r="AA234" s="9"/>
      <c r="AB234" s="9"/>
      <c r="AC234" s="40"/>
    </row>
    <row r="235" customFormat="false" ht="15" hidden="false" customHeight="false" outlineLevel="0" collapsed="false">
      <c r="A235" s="10" t="str">
        <f aca="false">IF(C235="","",IFERROR(VLOOKUP(C235,Lists!$Y$4:$Z$20,2,0),"??")&amp;"-"&amp;UPPER(SUBSTITUTE(D235," ",""))&amp;IF(E235&lt;&gt;"","-SP"&amp;TEXT(E235*1000,"0"),"")&amp;IF(F235&lt;&gt;"","-H"&amp;TEXT(F235*1000,"0"),"")&amp;"-"&amp;M235)</f>
        <v/>
      </c>
      <c r="B235" s="10" t="str">
        <f aca="false">IF(C235="","",C235&amp;" - "&amp;D235&amp;IF(E235&lt;&gt;"",", span "&amp;E235&amp;" m","")&amp;IF(F235&lt;&gt;"",", H "&amp;F235&amp;" m","")&amp;IF(G235&lt;&gt;"",", W "&amp;G235&amp;" m",""))</f>
        <v/>
      </c>
      <c r="C235" s="9"/>
      <c r="D235" s="9"/>
      <c r="E235" s="38"/>
      <c r="F235" s="38"/>
      <c r="G235" s="38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37"/>
      <c r="U235" s="38"/>
      <c r="V235" s="39"/>
      <c r="W235" s="39"/>
      <c r="X235" s="9"/>
      <c r="Y235" s="9"/>
      <c r="Z235" s="9"/>
      <c r="AA235" s="9"/>
      <c r="AB235" s="9"/>
      <c r="AC235" s="40"/>
    </row>
    <row r="236" customFormat="false" ht="15" hidden="false" customHeight="false" outlineLevel="0" collapsed="false">
      <c r="A236" s="10" t="str">
        <f aca="false">IF(C236="","",IFERROR(VLOOKUP(C236,Lists!$Y$4:$Z$20,2,0),"??")&amp;"-"&amp;UPPER(SUBSTITUTE(D236," ",""))&amp;IF(E236&lt;&gt;"","-SP"&amp;TEXT(E236*1000,"0"),"")&amp;IF(F236&lt;&gt;"","-H"&amp;TEXT(F236*1000,"0"),"")&amp;"-"&amp;M236)</f>
        <v/>
      </c>
      <c r="B236" s="10" t="str">
        <f aca="false">IF(C236="","",C236&amp;" - "&amp;D236&amp;IF(E236&lt;&gt;"",", span "&amp;E236&amp;" m","")&amp;IF(F236&lt;&gt;"",", H "&amp;F236&amp;" m","")&amp;IF(G236&lt;&gt;"",", W "&amp;G236&amp;" m",""))</f>
        <v/>
      </c>
      <c r="C236" s="9"/>
      <c r="D236" s="9"/>
      <c r="E236" s="38"/>
      <c r="F236" s="38"/>
      <c r="G236" s="38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37"/>
      <c r="U236" s="38"/>
      <c r="V236" s="39"/>
      <c r="W236" s="39"/>
      <c r="X236" s="9"/>
      <c r="Y236" s="9"/>
      <c r="Z236" s="9"/>
      <c r="AA236" s="9"/>
      <c r="AB236" s="9"/>
      <c r="AC236" s="40"/>
    </row>
    <row r="237" customFormat="false" ht="15" hidden="false" customHeight="false" outlineLevel="0" collapsed="false">
      <c r="A237" s="10" t="str">
        <f aca="false">IF(C237="","",IFERROR(VLOOKUP(C237,Lists!$Y$4:$Z$20,2,0),"??")&amp;"-"&amp;UPPER(SUBSTITUTE(D237," ",""))&amp;IF(E237&lt;&gt;"","-SP"&amp;TEXT(E237*1000,"0"),"")&amp;IF(F237&lt;&gt;"","-H"&amp;TEXT(F237*1000,"0"),"")&amp;"-"&amp;M237)</f>
        <v/>
      </c>
      <c r="B237" s="10" t="str">
        <f aca="false">IF(C237="","",C237&amp;" - "&amp;D237&amp;IF(E237&lt;&gt;"",", span "&amp;E237&amp;" m","")&amp;IF(F237&lt;&gt;"",", H "&amp;F237&amp;" m","")&amp;IF(G237&lt;&gt;"",", W "&amp;G237&amp;" m",""))</f>
        <v/>
      </c>
      <c r="C237" s="9"/>
      <c r="D237" s="9"/>
      <c r="E237" s="38"/>
      <c r="F237" s="38"/>
      <c r="G237" s="38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37"/>
      <c r="U237" s="38"/>
      <c r="V237" s="39"/>
      <c r="W237" s="39"/>
      <c r="X237" s="9"/>
      <c r="Y237" s="9"/>
      <c r="Z237" s="9"/>
      <c r="AA237" s="9"/>
      <c r="AB237" s="9"/>
      <c r="AC237" s="40"/>
    </row>
    <row r="238" customFormat="false" ht="15" hidden="false" customHeight="false" outlineLevel="0" collapsed="false">
      <c r="A238" s="10" t="str">
        <f aca="false">IF(C238="","",IFERROR(VLOOKUP(C238,Lists!$Y$4:$Z$20,2,0),"??")&amp;"-"&amp;UPPER(SUBSTITUTE(D238," ",""))&amp;IF(E238&lt;&gt;"","-SP"&amp;TEXT(E238*1000,"0"),"")&amp;IF(F238&lt;&gt;"","-H"&amp;TEXT(F238*1000,"0"),"")&amp;"-"&amp;M238)</f>
        <v/>
      </c>
      <c r="B238" s="10" t="str">
        <f aca="false">IF(C238="","",C238&amp;" - "&amp;D238&amp;IF(E238&lt;&gt;"",", span "&amp;E238&amp;" m","")&amp;IF(F238&lt;&gt;"",", H "&amp;F238&amp;" m","")&amp;IF(G238&lt;&gt;"",", W "&amp;G238&amp;" m",""))</f>
        <v/>
      </c>
      <c r="C238" s="9"/>
      <c r="D238" s="9"/>
      <c r="E238" s="38"/>
      <c r="F238" s="38"/>
      <c r="G238" s="38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37"/>
      <c r="U238" s="38"/>
      <c r="V238" s="39"/>
      <c r="W238" s="39"/>
      <c r="X238" s="9"/>
      <c r="Y238" s="9"/>
      <c r="Z238" s="9"/>
      <c r="AA238" s="9"/>
      <c r="AB238" s="9"/>
      <c r="AC238" s="40"/>
    </row>
    <row r="239" customFormat="false" ht="15" hidden="false" customHeight="false" outlineLevel="0" collapsed="false">
      <c r="A239" s="10" t="str">
        <f aca="false">IF(C239="","",IFERROR(VLOOKUP(C239,Lists!$Y$4:$Z$20,2,0),"??")&amp;"-"&amp;UPPER(SUBSTITUTE(D239," ",""))&amp;IF(E239&lt;&gt;"","-SP"&amp;TEXT(E239*1000,"0"),"")&amp;IF(F239&lt;&gt;"","-H"&amp;TEXT(F239*1000,"0"),"")&amp;"-"&amp;M239)</f>
        <v/>
      </c>
      <c r="B239" s="10" t="str">
        <f aca="false">IF(C239="","",C239&amp;" - "&amp;D239&amp;IF(E239&lt;&gt;"",", span "&amp;E239&amp;" m","")&amp;IF(F239&lt;&gt;"",", H "&amp;F239&amp;" m","")&amp;IF(G239&lt;&gt;"",", W "&amp;G239&amp;" m",""))</f>
        <v/>
      </c>
      <c r="C239" s="9"/>
      <c r="D239" s="9"/>
      <c r="E239" s="38"/>
      <c r="F239" s="38"/>
      <c r="G239" s="38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37"/>
      <c r="U239" s="38"/>
      <c r="V239" s="39"/>
      <c r="W239" s="39"/>
      <c r="X239" s="9"/>
      <c r="Y239" s="9"/>
      <c r="Z239" s="9"/>
      <c r="AA239" s="9"/>
      <c r="AB239" s="9"/>
      <c r="AC239" s="40"/>
    </row>
    <row r="240" customFormat="false" ht="15" hidden="false" customHeight="false" outlineLevel="0" collapsed="false">
      <c r="A240" s="10" t="str">
        <f aca="false">IF(C240="","",IFERROR(VLOOKUP(C240,Lists!$Y$4:$Z$20,2,0),"??")&amp;"-"&amp;UPPER(SUBSTITUTE(D240," ",""))&amp;IF(E240&lt;&gt;"","-SP"&amp;TEXT(E240*1000,"0"),"")&amp;IF(F240&lt;&gt;"","-H"&amp;TEXT(F240*1000,"0"),"")&amp;"-"&amp;M240)</f>
        <v/>
      </c>
      <c r="B240" s="10" t="str">
        <f aca="false">IF(C240="","",C240&amp;" - "&amp;D240&amp;IF(E240&lt;&gt;"",", span "&amp;E240&amp;" m","")&amp;IF(F240&lt;&gt;"",", H "&amp;F240&amp;" m","")&amp;IF(G240&lt;&gt;"",", W "&amp;G240&amp;" m",""))</f>
        <v/>
      </c>
      <c r="C240" s="9"/>
      <c r="D240" s="9"/>
      <c r="E240" s="38"/>
      <c r="F240" s="38"/>
      <c r="G240" s="38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37"/>
      <c r="U240" s="38"/>
      <c r="V240" s="39"/>
      <c r="W240" s="39"/>
      <c r="X240" s="9"/>
      <c r="Y240" s="9"/>
      <c r="Z240" s="9"/>
      <c r="AA240" s="9"/>
      <c r="AB240" s="9"/>
      <c r="AC240" s="40"/>
    </row>
    <row r="241" customFormat="false" ht="15" hidden="false" customHeight="false" outlineLevel="0" collapsed="false">
      <c r="A241" s="10" t="str">
        <f aca="false">IF(C241="","",IFERROR(VLOOKUP(C241,Lists!$Y$4:$Z$20,2,0),"??")&amp;"-"&amp;UPPER(SUBSTITUTE(D241," ",""))&amp;IF(E241&lt;&gt;"","-SP"&amp;TEXT(E241*1000,"0"),"")&amp;IF(F241&lt;&gt;"","-H"&amp;TEXT(F241*1000,"0"),"")&amp;"-"&amp;M241)</f>
        <v/>
      </c>
      <c r="B241" s="10" t="str">
        <f aca="false">IF(C241="","",C241&amp;" - "&amp;D241&amp;IF(E241&lt;&gt;"",", span "&amp;E241&amp;" m","")&amp;IF(F241&lt;&gt;"",", H "&amp;F241&amp;" m","")&amp;IF(G241&lt;&gt;"",", W "&amp;G241&amp;" m",""))</f>
        <v/>
      </c>
      <c r="C241" s="9"/>
      <c r="D241" s="9"/>
      <c r="E241" s="38"/>
      <c r="F241" s="38"/>
      <c r="G241" s="38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37"/>
      <c r="U241" s="38"/>
      <c r="V241" s="39"/>
      <c r="W241" s="39"/>
      <c r="X241" s="9"/>
      <c r="Y241" s="9"/>
      <c r="Z241" s="9"/>
      <c r="AA241" s="9"/>
      <c r="AB241" s="9"/>
      <c r="AC241" s="40"/>
    </row>
    <row r="242" customFormat="false" ht="15" hidden="false" customHeight="false" outlineLevel="0" collapsed="false">
      <c r="A242" s="10" t="str">
        <f aca="false">IF(C242="","",IFERROR(VLOOKUP(C242,Lists!$Y$4:$Z$20,2,0),"??")&amp;"-"&amp;UPPER(SUBSTITUTE(D242," ",""))&amp;IF(E242&lt;&gt;"","-SP"&amp;TEXT(E242*1000,"0"),"")&amp;IF(F242&lt;&gt;"","-H"&amp;TEXT(F242*1000,"0"),"")&amp;"-"&amp;M242)</f>
        <v/>
      </c>
      <c r="B242" s="10" t="str">
        <f aca="false">IF(C242="","",C242&amp;" - "&amp;D242&amp;IF(E242&lt;&gt;"",", span "&amp;E242&amp;" m","")&amp;IF(F242&lt;&gt;"",", H "&amp;F242&amp;" m","")&amp;IF(G242&lt;&gt;"",", W "&amp;G242&amp;" m",""))</f>
        <v/>
      </c>
      <c r="C242" s="9"/>
      <c r="D242" s="9"/>
      <c r="E242" s="38"/>
      <c r="F242" s="38"/>
      <c r="G242" s="38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37"/>
      <c r="U242" s="38"/>
      <c r="V242" s="39"/>
      <c r="W242" s="39"/>
      <c r="X242" s="9"/>
      <c r="Y242" s="9"/>
      <c r="Z242" s="9"/>
      <c r="AA242" s="9"/>
      <c r="AB242" s="9"/>
      <c r="AC242" s="40"/>
    </row>
    <row r="243" customFormat="false" ht="15" hidden="false" customHeight="false" outlineLevel="0" collapsed="false">
      <c r="A243" s="10" t="str">
        <f aca="false">IF(C243="","",IFERROR(VLOOKUP(C243,Lists!$Y$4:$Z$20,2,0),"??")&amp;"-"&amp;UPPER(SUBSTITUTE(D243," ",""))&amp;IF(E243&lt;&gt;"","-SP"&amp;TEXT(E243*1000,"0"),"")&amp;IF(F243&lt;&gt;"","-H"&amp;TEXT(F243*1000,"0"),"")&amp;"-"&amp;M243)</f>
        <v/>
      </c>
      <c r="B243" s="10" t="str">
        <f aca="false">IF(C243="","",C243&amp;" - "&amp;D243&amp;IF(E243&lt;&gt;"",", span "&amp;E243&amp;" m","")&amp;IF(F243&lt;&gt;"",", H "&amp;F243&amp;" m","")&amp;IF(G243&lt;&gt;"",", W "&amp;G243&amp;" m",""))</f>
        <v/>
      </c>
      <c r="C243" s="9"/>
      <c r="D243" s="9"/>
      <c r="E243" s="38"/>
      <c r="F243" s="38"/>
      <c r="G243" s="38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37"/>
      <c r="U243" s="38"/>
      <c r="V243" s="39"/>
      <c r="W243" s="39"/>
      <c r="X243" s="9"/>
      <c r="Y243" s="9"/>
      <c r="Z243" s="9"/>
      <c r="AA243" s="9"/>
      <c r="AB243" s="9"/>
      <c r="AC243" s="40"/>
    </row>
    <row r="244" customFormat="false" ht="15" hidden="false" customHeight="false" outlineLevel="0" collapsed="false">
      <c r="A244" s="10" t="str">
        <f aca="false">IF(C244="","",IFERROR(VLOOKUP(C244,Lists!$Y$4:$Z$20,2,0),"??")&amp;"-"&amp;UPPER(SUBSTITUTE(D244," ",""))&amp;IF(E244&lt;&gt;"","-SP"&amp;TEXT(E244*1000,"0"),"")&amp;IF(F244&lt;&gt;"","-H"&amp;TEXT(F244*1000,"0"),"")&amp;"-"&amp;M244)</f>
        <v/>
      </c>
      <c r="B244" s="10" t="str">
        <f aca="false">IF(C244="","",C244&amp;" - "&amp;D244&amp;IF(E244&lt;&gt;"",", span "&amp;E244&amp;" m","")&amp;IF(F244&lt;&gt;"",", H "&amp;F244&amp;" m","")&amp;IF(G244&lt;&gt;"",", W "&amp;G244&amp;" m",""))</f>
        <v/>
      </c>
      <c r="C244" s="9"/>
      <c r="D244" s="9"/>
      <c r="E244" s="38"/>
      <c r="F244" s="38"/>
      <c r="G244" s="38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37"/>
      <c r="U244" s="38"/>
      <c r="V244" s="39"/>
      <c r="W244" s="39"/>
      <c r="X244" s="9"/>
      <c r="Y244" s="9"/>
      <c r="Z244" s="9"/>
      <c r="AA244" s="9"/>
      <c r="AB244" s="9"/>
      <c r="AC244" s="40"/>
    </row>
    <row r="245" customFormat="false" ht="15" hidden="false" customHeight="false" outlineLevel="0" collapsed="false">
      <c r="A245" s="10" t="str">
        <f aca="false">IF(C245="","",IFERROR(VLOOKUP(C245,Lists!$Y$4:$Z$20,2,0),"??")&amp;"-"&amp;UPPER(SUBSTITUTE(D245," ",""))&amp;IF(E245&lt;&gt;"","-SP"&amp;TEXT(E245*1000,"0"),"")&amp;IF(F245&lt;&gt;"","-H"&amp;TEXT(F245*1000,"0"),"")&amp;"-"&amp;M245)</f>
        <v/>
      </c>
      <c r="B245" s="10" t="str">
        <f aca="false">IF(C245="","",C245&amp;" - "&amp;D245&amp;IF(E245&lt;&gt;"",", span "&amp;E245&amp;" m","")&amp;IF(F245&lt;&gt;"",", H "&amp;F245&amp;" m","")&amp;IF(G245&lt;&gt;"",", W "&amp;G245&amp;" m",""))</f>
        <v/>
      </c>
      <c r="C245" s="9"/>
      <c r="D245" s="9"/>
      <c r="E245" s="38"/>
      <c r="F245" s="38"/>
      <c r="G245" s="38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37"/>
      <c r="U245" s="38"/>
      <c r="V245" s="39"/>
      <c r="W245" s="39"/>
      <c r="X245" s="9"/>
      <c r="Y245" s="9"/>
      <c r="Z245" s="9"/>
      <c r="AA245" s="9"/>
      <c r="AB245" s="9"/>
      <c r="AC245" s="40"/>
    </row>
    <row r="246" customFormat="false" ht="15" hidden="false" customHeight="false" outlineLevel="0" collapsed="false">
      <c r="A246" s="10" t="str">
        <f aca="false">IF(C246="","",IFERROR(VLOOKUP(C246,Lists!$Y$4:$Z$20,2,0),"??")&amp;"-"&amp;UPPER(SUBSTITUTE(D246," ",""))&amp;IF(E246&lt;&gt;"","-SP"&amp;TEXT(E246*1000,"0"),"")&amp;IF(F246&lt;&gt;"","-H"&amp;TEXT(F246*1000,"0"),"")&amp;"-"&amp;M246)</f>
        <v/>
      </c>
      <c r="B246" s="10" t="str">
        <f aca="false">IF(C246="","",C246&amp;" - "&amp;D246&amp;IF(E246&lt;&gt;"",", span "&amp;E246&amp;" m","")&amp;IF(F246&lt;&gt;"",", H "&amp;F246&amp;" m","")&amp;IF(G246&lt;&gt;"",", W "&amp;G246&amp;" m",""))</f>
        <v/>
      </c>
      <c r="C246" s="9"/>
      <c r="D246" s="9"/>
      <c r="E246" s="38"/>
      <c r="F246" s="38"/>
      <c r="G246" s="38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37"/>
      <c r="U246" s="38"/>
      <c r="V246" s="39"/>
      <c r="W246" s="39"/>
      <c r="X246" s="9"/>
      <c r="Y246" s="9"/>
      <c r="Z246" s="9"/>
      <c r="AA246" s="9"/>
      <c r="AB246" s="9"/>
      <c r="AC246" s="40"/>
    </row>
    <row r="247" customFormat="false" ht="15" hidden="false" customHeight="false" outlineLevel="0" collapsed="false">
      <c r="A247" s="10" t="str">
        <f aca="false">IF(C247="","",IFERROR(VLOOKUP(C247,Lists!$Y$4:$Z$20,2,0),"??")&amp;"-"&amp;UPPER(SUBSTITUTE(D247," ",""))&amp;IF(E247&lt;&gt;"","-SP"&amp;TEXT(E247*1000,"0"),"")&amp;IF(F247&lt;&gt;"","-H"&amp;TEXT(F247*1000,"0"),"")&amp;"-"&amp;M247)</f>
        <v/>
      </c>
      <c r="B247" s="10" t="str">
        <f aca="false">IF(C247="","",C247&amp;" - "&amp;D247&amp;IF(E247&lt;&gt;"",", span "&amp;E247&amp;" m","")&amp;IF(F247&lt;&gt;"",", H "&amp;F247&amp;" m","")&amp;IF(G247&lt;&gt;"",", W "&amp;G247&amp;" m",""))</f>
        <v/>
      </c>
      <c r="C247" s="9"/>
      <c r="D247" s="9"/>
      <c r="E247" s="38"/>
      <c r="F247" s="38"/>
      <c r="G247" s="38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37"/>
      <c r="U247" s="38"/>
      <c r="V247" s="39"/>
      <c r="W247" s="39"/>
      <c r="X247" s="9"/>
      <c r="Y247" s="9"/>
      <c r="Z247" s="9"/>
      <c r="AA247" s="9"/>
      <c r="AB247" s="9"/>
      <c r="AC247" s="40"/>
    </row>
    <row r="248" customFormat="false" ht="15" hidden="false" customHeight="false" outlineLevel="0" collapsed="false">
      <c r="A248" s="10" t="str">
        <f aca="false">IF(C248="","",IFERROR(VLOOKUP(C248,Lists!$Y$4:$Z$20,2,0),"??")&amp;"-"&amp;UPPER(SUBSTITUTE(D248," ",""))&amp;IF(E248&lt;&gt;"","-SP"&amp;TEXT(E248*1000,"0"),"")&amp;IF(F248&lt;&gt;"","-H"&amp;TEXT(F248*1000,"0"),"")&amp;"-"&amp;M248)</f>
        <v/>
      </c>
      <c r="B248" s="10" t="str">
        <f aca="false">IF(C248="","",C248&amp;" - "&amp;D248&amp;IF(E248&lt;&gt;"",", span "&amp;E248&amp;" m","")&amp;IF(F248&lt;&gt;"",", H "&amp;F248&amp;" m","")&amp;IF(G248&lt;&gt;"",", W "&amp;G248&amp;" m",""))</f>
        <v/>
      </c>
      <c r="C248" s="9"/>
      <c r="D248" s="9"/>
      <c r="E248" s="38"/>
      <c r="F248" s="38"/>
      <c r="G248" s="38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37"/>
      <c r="U248" s="38"/>
      <c r="V248" s="39"/>
      <c r="W248" s="39"/>
      <c r="X248" s="9"/>
      <c r="Y248" s="9"/>
      <c r="Z248" s="9"/>
      <c r="AA248" s="9"/>
      <c r="AB248" s="9"/>
      <c r="AC248" s="40"/>
    </row>
    <row r="249" customFormat="false" ht="15" hidden="false" customHeight="false" outlineLevel="0" collapsed="false">
      <c r="A249" s="10" t="str">
        <f aca="false">IF(C249="","",IFERROR(VLOOKUP(C249,Lists!$Y$4:$Z$20,2,0),"??")&amp;"-"&amp;UPPER(SUBSTITUTE(D249," ",""))&amp;IF(E249&lt;&gt;"","-SP"&amp;TEXT(E249*1000,"0"),"")&amp;IF(F249&lt;&gt;"","-H"&amp;TEXT(F249*1000,"0"),"")&amp;"-"&amp;M249)</f>
        <v/>
      </c>
      <c r="B249" s="10" t="str">
        <f aca="false">IF(C249="","",C249&amp;" - "&amp;D249&amp;IF(E249&lt;&gt;"",", span "&amp;E249&amp;" m","")&amp;IF(F249&lt;&gt;"",", H "&amp;F249&amp;" m","")&amp;IF(G249&lt;&gt;"",", W "&amp;G249&amp;" m",""))</f>
        <v/>
      </c>
      <c r="C249" s="9"/>
      <c r="D249" s="9"/>
      <c r="E249" s="38"/>
      <c r="F249" s="38"/>
      <c r="G249" s="38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37"/>
      <c r="U249" s="38"/>
      <c r="V249" s="39"/>
      <c r="W249" s="39"/>
      <c r="X249" s="9"/>
      <c r="Y249" s="9"/>
      <c r="Z249" s="9"/>
      <c r="AA249" s="9"/>
      <c r="AB249" s="9"/>
      <c r="AC249" s="40"/>
    </row>
    <row r="250" customFormat="false" ht="15" hidden="false" customHeight="false" outlineLevel="0" collapsed="false">
      <c r="A250" s="10" t="str">
        <f aca="false">IF(C250="","",IFERROR(VLOOKUP(C250,Lists!$Y$4:$Z$20,2,0),"??")&amp;"-"&amp;UPPER(SUBSTITUTE(D250," ",""))&amp;IF(E250&lt;&gt;"","-SP"&amp;TEXT(E250*1000,"0"),"")&amp;IF(F250&lt;&gt;"","-H"&amp;TEXT(F250*1000,"0"),"")&amp;"-"&amp;M250)</f>
        <v/>
      </c>
      <c r="B250" s="10" t="str">
        <f aca="false">IF(C250="","",C250&amp;" - "&amp;D250&amp;IF(E250&lt;&gt;"",", span "&amp;E250&amp;" m","")&amp;IF(F250&lt;&gt;"",", H "&amp;F250&amp;" m","")&amp;IF(G250&lt;&gt;"",", W "&amp;G250&amp;" m",""))</f>
        <v/>
      </c>
      <c r="C250" s="9"/>
      <c r="D250" s="9"/>
      <c r="E250" s="38"/>
      <c r="F250" s="38"/>
      <c r="G250" s="38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37"/>
      <c r="U250" s="38"/>
      <c r="V250" s="39"/>
      <c r="W250" s="39"/>
      <c r="X250" s="9"/>
      <c r="Y250" s="9"/>
      <c r="Z250" s="9"/>
      <c r="AA250" s="9"/>
      <c r="AB250" s="9"/>
      <c r="AC250" s="40"/>
    </row>
    <row r="251" customFormat="false" ht="15" hidden="false" customHeight="false" outlineLevel="0" collapsed="false">
      <c r="A251" s="10" t="str">
        <f aca="false">IF(C251="","",IFERROR(VLOOKUP(C251,Lists!$Y$4:$Z$20,2,0),"??")&amp;"-"&amp;UPPER(SUBSTITUTE(D251," ",""))&amp;IF(E251&lt;&gt;"","-SP"&amp;TEXT(E251*1000,"0"),"")&amp;IF(F251&lt;&gt;"","-H"&amp;TEXT(F251*1000,"0"),"")&amp;"-"&amp;M251)</f>
        <v/>
      </c>
      <c r="B251" s="10" t="str">
        <f aca="false">IF(C251="","",C251&amp;" - "&amp;D251&amp;IF(E251&lt;&gt;"",", span "&amp;E251&amp;" m","")&amp;IF(F251&lt;&gt;"",", H "&amp;F251&amp;" m","")&amp;IF(G251&lt;&gt;"",", W "&amp;G251&amp;" m",""))</f>
        <v/>
      </c>
      <c r="C251" s="9"/>
      <c r="D251" s="9"/>
      <c r="E251" s="38"/>
      <c r="F251" s="38"/>
      <c r="G251" s="38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37"/>
      <c r="U251" s="38"/>
      <c r="V251" s="39"/>
      <c r="W251" s="39"/>
      <c r="X251" s="9"/>
      <c r="Y251" s="9"/>
      <c r="Z251" s="9"/>
      <c r="AA251" s="9"/>
      <c r="AB251" s="9"/>
      <c r="AC251" s="40"/>
    </row>
    <row r="252" customFormat="false" ht="15" hidden="false" customHeight="false" outlineLevel="0" collapsed="false">
      <c r="A252" s="10" t="str">
        <f aca="false">IF(C252="","",IFERROR(VLOOKUP(C252,Lists!$Y$4:$Z$20,2,0),"??")&amp;"-"&amp;UPPER(SUBSTITUTE(D252," ",""))&amp;IF(E252&lt;&gt;"","-SP"&amp;TEXT(E252*1000,"0"),"")&amp;IF(F252&lt;&gt;"","-H"&amp;TEXT(F252*1000,"0"),"")&amp;"-"&amp;M252)</f>
        <v/>
      </c>
      <c r="B252" s="10" t="str">
        <f aca="false">IF(C252="","",C252&amp;" - "&amp;D252&amp;IF(E252&lt;&gt;"",", span "&amp;E252&amp;" m","")&amp;IF(F252&lt;&gt;"",", H "&amp;F252&amp;" m","")&amp;IF(G252&lt;&gt;"",", W "&amp;G252&amp;" m",""))</f>
        <v/>
      </c>
      <c r="C252" s="9"/>
      <c r="D252" s="9"/>
      <c r="E252" s="38"/>
      <c r="F252" s="38"/>
      <c r="G252" s="38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37"/>
      <c r="U252" s="38"/>
      <c r="V252" s="39"/>
      <c r="W252" s="39"/>
      <c r="X252" s="9"/>
      <c r="Y252" s="9"/>
      <c r="Z252" s="9"/>
      <c r="AA252" s="9"/>
      <c r="AB252" s="9"/>
      <c r="AC252" s="40"/>
    </row>
    <row r="253" customFormat="false" ht="15" hidden="false" customHeight="false" outlineLevel="0" collapsed="false">
      <c r="A253" s="10" t="str">
        <f aca="false">IF(C253="","",IFERROR(VLOOKUP(C253,Lists!$Y$4:$Z$20,2,0),"??")&amp;"-"&amp;UPPER(SUBSTITUTE(D253," ",""))&amp;IF(E253&lt;&gt;"","-SP"&amp;TEXT(E253*1000,"0"),"")&amp;IF(F253&lt;&gt;"","-H"&amp;TEXT(F253*1000,"0"),"")&amp;"-"&amp;M253)</f>
        <v/>
      </c>
      <c r="B253" s="10" t="str">
        <f aca="false">IF(C253="","",C253&amp;" - "&amp;D253&amp;IF(E253&lt;&gt;"",", span "&amp;E253&amp;" m","")&amp;IF(F253&lt;&gt;"",", H "&amp;F253&amp;" m","")&amp;IF(G253&lt;&gt;"",", W "&amp;G253&amp;" m",""))</f>
        <v/>
      </c>
      <c r="C253" s="9"/>
      <c r="D253" s="9"/>
      <c r="E253" s="38"/>
      <c r="F253" s="38"/>
      <c r="G253" s="38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37"/>
      <c r="U253" s="38"/>
      <c r="V253" s="39"/>
      <c r="W253" s="39"/>
      <c r="X253" s="9"/>
      <c r="Y253" s="9"/>
      <c r="Z253" s="9"/>
      <c r="AA253" s="9"/>
      <c r="AB253" s="9"/>
      <c r="AC253" s="40"/>
    </row>
    <row r="254" customFormat="false" ht="15" hidden="false" customHeight="false" outlineLevel="0" collapsed="false">
      <c r="A254" s="10" t="str">
        <f aca="false">IF(C254="","",IFERROR(VLOOKUP(C254,Lists!$Y$4:$Z$20,2,0),"??")&amp;"-"&amp;UPPER(SUBSTITUTE(D254," ",""))&amp;IF(E254&lt;&gt;"","-SP"&amp;TEXT(E254*1000,"0"),"")&amp;IF(F254&lt;&gt;"","-H"&amp;TEXT(F254*1000,"0"),"")&amp;"-"&amp;M254)</f>
        <v/>
      </c>
      <c r="B254" s="10" t="str">
        <f aca="false">IF(C254="","",C254&amp;" - "&amp;D254&amp;IF(E254&lt;&gt;"",", span "&amp;E254&amp;" m","")&amp;IF(F254&lt;&gt;"",", H "&amp;F254&amp;" m","")&amp;IF(G254&lt;&gt;"",", W "&amp;G254&amp;" m",""))</f>
        <v/>
      </c>
      <c r="C254" s="9"/>
      <c r="D254" s="9"/>
      <c r="E254" s="38"/>
      <c r="F254" s="38"/>
      <c r="G254" s="38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37"/>
      <c r="U254" s="38"/>
      <c r="V254" s="39"/>
      <c r="W254" s="39"/>
      <c r="X254" s="9"/>
      <c r="Y254" s="9"/>
      <c r="Z254" s="9"/>
      <c r="AA254" s="9"/>
      <c r="AB254" s="9"/>
      <c r="AC254" s="40"/>
    </row>
    <row r="255" customFormat="false" ht="15" hidden="false" customHeight="false" outlineLevel="0" collapsed="false">
      <c r="A255" s="10" t="str">
        <f aca="false">IF(C255="","",IFERROR(VLOOKUP(C255,Lists!$Y$4:$Z$20,2,0),"??")&amp;"-"&amp;UPPER(SUBSTITUTE(D255," ",""))&amp;IF(E255&lt;&gt;"","-SP"&amp;TEXT(E255*1000,"0"),"")&amp;IF(F255&lt;&gt;"","-H"&amp;TEXT(F255*1000,"0"),"")&amp;"-"&amp;M255)</f>
        <v/>
      </c>
      <c r="B255" s="10" t="str">
        <f aca="false">IF(C255="","",C255&amp;" - "&amp;D255&amp;IF(E255&lt;&gt;"",", span "&amp;E255&amp;" m","")&amp;IF(F255&lt;&gt;"",", H "&amp;F255&amp;" m","")&amp;IF(G255&lt;&gt;"",", W "&amp;G255&amp;" m",""))</f>
        <v/>
      </c>
      <c r="C255" s="9"/>
      <c r="D255" s="9"/>
      <c r="E255" s="38"/>
      <c r="F255" s="38"/>
      <c r="G255" s="38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37"/>
      <c r="U255" s="38"/>
      <c r="V255" s="39"/>
      <c r="W255" s="39"/>
      <c r="X255" s="9"/>
      <c r="Y255" s="9"/>
      <c r="Z255" s="9"/>
      <c r="AA255" s="9"/>
      <c r="AB255" s="9"/>
      <c r="AC255" s="40"/>
    </row>
    <row r="256" customFormat="false" ht="15" hidden="false" customHeight="false" outlineLevel="0" collapsed="false">
      <c r="A256" s="10" t="str">
        <f aca="false">IF(C256="","",IFERROR(VLOOKUP(C256,Lists!$Y$4:$Z$20,2,0),"??")&amp;"-"&amp;UPPER(SUBSTITUTE(D256," ",""))&amp;IF(E256&lt;&gt;"","-SP"&amp;TEXT(E256*1000,"0"),"")&amp;IF(F256&lt;&gt;"","-H"&amp;TEXT(F256*1000,"0"),"")&amp;"-"&amp;M256)</f>
        <v/>
      </c>
      <c r="B256" s="10" t="str">
        <f aca="false">IF(C256="","",C256&amp;" - "&amp;D256&amp;IF(E256&lt;&gt;"",", span "&amp;E256&amp;" m","")&amp;IF(F256&lt;&gt;"",", H "&amp;F256&amp;" m","")&amp;IF(G256&lt;&gt;"",", W "&amp;G256&amp;" m",""))</f>
        <v/>
      </c>
      <c r="C256" s="9"/>
      <c r="D256" s="9"/>
      <c r="E256" s="38"/>
      <c r="F256" s="38"/>
      <c r="G256" s="38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37"/>
      <c r="U256" s="38"/>
      <c r="V256" s="39"/>
      <c r="W256" s="39"/>
      <c r="X256" s="9"/>
      <c r="Y256" s="9"/>
      <c r="Z256" s="9"/>
      <c r="AA256" s="9"/>
      <c r="AB256" s="9"/>
      <c r="AC256" s="40"/>
    </row>
    <row r="257" customFormat="false" ht="15" hidden="false" customHeight="false" outlineLevel="0" collapsed="false">
      <c r="A257" s="10" t="str">
        <f aca="false">IF(C257="","",IFERROR(VLOOKUP(C257,Lists!$Y$4:$Z$20,2,0),"??")&amp;"-"&amp;UPPER(SUBSTITUTE(D257," ",""))&amp;IF(E257&lt;&gt;"","-SP"&amp;TEXT(E257*1000,"0"),"")&amp;IF(F257&lt;&gt;"","-H"&amp;TEXT(F257*1000,"0"),"")&amp;"-"&amp;M257)</f>
        <v/>
      </c>
      <c r="B257" s="10" t="str">
        <f aca="false">IF(C257="","",C257&amp;" - "&amp;D257&amp;IF(E257&lt;&gt;"",", span "&amp;E257&amp;" m","")&amp;IF(F257&lt;&gt;"",", H "&amp;F257&amp;" m","")&amp;IF(G257&lt;&gt;"",", W "&amp;G257&amp;" m",""))</f>
        <v/>
      </c>
      <c r="C257" s="9"/>
      <c r="D257" s="9"/>
      <c r="E257" s="38"/>
      <c r="F257" s="38"/>
      <c r="G257" s="38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37"/>
      <c r="U257" s="38"/>
      <c r="V257" s="39"/>
      <c r="W257" s="39"/>
      <c r="X257" s="9"/>
      <c r="Y257" s="9"/>
      <c r="Z257" s="9"/>
      <c r="AA257" s="9"/>
      <c r="AB257" s="9"/>
      <c r="AC257" s="40"/>
    </row>
    <row r="258" customFormat="false" ht="15" hidden="false" customHeight="false" outlineLevel="0" collapsed="false">
      <c r="A258" s="10" t="str">
        <f aca="false">IF(C258="","",IFERROR(VLOOKUP(C258,Lists!$Y$4:$Z$20,2,0),"??")&amp;"-"&amp;UPPER(SUBSTITUTE(D258," ",""))&amp;IF(E258&lt;&gt;"","-SP"&amp;TEXT(E258*1000,"0"),"")&amp;IF(F258&lt;&gt;"","-H"&amp;TEXT(F258*1000,"0"),"")&amp;"-"&amp;M258)</f>
        <v/>
      </c>
      <c r="B258" s="10" t="str">
        <f aca="false">IF(C258="","",C258&amp;" - "&amp;D258&amp;IF(E258&lt;&gt;"",", span "&amp;E258&amp;" m","")&amp;IF(F258&lt;&gt;"",", H "&amp;F258&amp;" m","")&amp;IF(G258&lt;&gt;"",", W "&amp;G258&amp;" m",""))</f>
        <v/>
      </c>
      <c r="C258" s="9"/>
      <c r="D258" s="9"/>
      <c r="E258" s="38"/>
      <c r="F258" s="38"/>
      <c r="G258" s="38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37"/>
      <c r="U258" s="38"/>
      <c r="V258" s="39"/>
      <c r="W258" s="39"/>
      <c r="X258" s="9"/>
      <c r="Y258" s="9"/>
      <c r="Z258" s="9"/>
      <c r="AA258" s="9"/>
      <c r="AB258" s="9"/>
      <c r="AC258" s="40"/>
    </row>
    <row r="259" customFormat="false" ht="15" hidden="false" customHeight="false" outlineLevel="0" collapsed="false">
      <c r="A259" s="10" t="str">
        <f aca="false">IF(C259="","",IFERROR(VLOOKUP(C259,Lists!$Y$4:$Z$20,2,0),"??")&amp;"-"&amp;UPPER(SUBSTITUTE(D259," ",""))&amp;IF(E259&lt;&gt;"","-SP"&amp;TEXT(E259*1000,"0"),"")&amp;IF(F259&lt;&gt;"","-H"&amp;TEXT(F259*1000,"0"),"")&amp;"-"&amp;M259)</f>
        <v/>
      </c>
      <c r="B259" s="10" t="str">
        <f aca="false">IF(C259="","",C259&amp;" - "&amp;D259&amp;IF(E259&lt;&gt;"",", span "&amp;E259&amp;" m","")&amp;IF(F259&lt;&gt;"",", H "&amp;F259&amp;" m","")&amp;IF(G259&lt;&gt;"",", W "&amp;G259&amp;" m",""))</f>
        <v/>
      </c>
      <c r="C259" s="9"/>
      <c r="D259" s="9"/>
      <c r="E259" s="38"/>
      <c r="F259" s="38"/>
      <c r="G259" s="38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37"/>
      <c r="U259" s="38"/>
      <c r="V259" s="39"/>
      <c r="W259" s="39"/>
      <c r="X259" s="9"/>
      <c r="Y259" s="9"/>
      <c r="Z259" s="9"/>
      <c r="AA259" s="9"/>
      <c r="AB259" s="9"/>
      <c r="AC259" s="40"/>
    </row>
    <row r="260" customFormat="false" ht="15" hidden="false" customHeight="false" outlineLevel="0" collapsed="false">
      <c r="A260" s="10" t="str">
        <f aca="false">IF(C260="","",IFERROR(VLOOKUP(C260,Lists!$Y$4:$Z$20,2,0),"??")&amp;"-"&amp;UPPER(SUBSTITUTE(D260," ",""))&amp;IF(E260&lt;&gt;"","-SP"&amp;TEXT(E260*1000,"0"),"")&amp;IF(F260&lt;&gt;"","-H"&amp;TEXT(F260*1000,"0"),"")&amp;"-"&amp;M260)</f>
        <v/>
      </c>
      <c r="B260" s="10" t="str">
        <f aca="false">IF(C260="","",C260&amp;" - "&amp;D260&amp;IF(E260&lt;&gt;"",", span "&amp;E260&amp;" m","")&amp;IF(F260&lt;&gt;"",", H "&amp;F260&amp;" m","")&amp;IF(G260&lt;&gt;"",", W "&amp;G260&amp;" m",""))</f>
        <v/>
      </c>
      <c r="C260" s="9"/>
      <c r="D260" s="9"/>
      <c r="E260" s="38"/>
      <c r="F260" s="38"/>
      <c r="G260" s="38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37"/>
      <c r="U260" s="38"/>
      <c r="V260" s="39"/>
      <c r="W260" s="39"/>
      <c r="X260" s="9"/>
      <c r="Y260" s="9"/>
      <c r="Z260" s="9"/>
      <c r="AA260" s="9"/>
      <c r="AB260" s="9"/>
      <c r="AC260" s="40"/>
    </row>
    <row r="261" customFormat="false" ht="15" hidden="false" customHeight="false" outlineLevel="0" collapsed="false">
      <c r="A261" s="10" t="str">
        <f aca="false">IF(C261="","",IFERROR(VLOOKUP(C261,Lists!$Y$4:$Z$20,2,0),"??")&amp;"-"&amp;UPPER(SUBSTITUTE(D261," ",""))&amp;IF(E261&lt;&gt;"","-SP"&amp;TEXT(E261*1000,"0"),"")&amp;IF(F261&lt;&gt;"","-H"&amp;TEXT(F261*1000,"0"),"")&amp;"-"&amp;M261)</f>
        <v/>
      </c>
      <c r="B261" s="10" t="str">
        <f aca="false">IF(C261="","",C261&amp;" - "&amp;D261&amp;IF(E261&lt;&gt;"",", span "&amp;E261&amp;" m","")&amp;IF(F261&lt;&gt;"",", H "&amp;F261&amp;" m","")&amp;IF(G261&lt;&gt;"",", W "&amp;G261&amp;" m",""))</f>
        <v/>
      </c>
      <c r="C261" s="9"/>
      <c r="D261" s="9"/>
      <c r="E261" s="38"/>
      <c r="F261" s="38"/>
      <c r="G261" s="38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37"/>
      <c r="U261" s="38"/>
      <c r="V261" s="39"/>
      <c r="W261" s="39"/>
      <c r="X261" s="9"/>
      <c r="Y261" s="9"/>
      <c r="Z261" s="9"/>
      <c r="AA261" s="9"/>
      <c r="AB261" s="9"/>
      <c r="AC261" s="40"/>
    </row>
    <row r="262" customFormat="false" ht="15" hidden="false" customHeight="false" outlineLevel="0" collapsed="false">
      <c r="A262" s="10" t="str">
        <f aca="false">IF(C262="","",IFERROR(VLOOKUP(C262,Lists!$Y$4:$Z$20,2,0),"??")&amp;"-"&amp;UPPER(SUBSTITUTE(D262," ",""))&amp;IF(E262&lt;&gt;"","-SP"&amp;TEXT(E262*1000,"0"),"")&amp;IF(F262&lt;&gt;"","-H"&amp;TEXT(F262*1000,"0"),"")&amp;"-"&amp;M262)</f>
        <v/>
      </c>
      <c r="B262" s="10" t="str">
        <f aca="false">IF(C262="","",C262&amp;" - "&amp;D262&amp;IF(E262&lt;&gt;"",", span "&amp;E262&amp;" m","")&amp;IF(F262&lt;&gt;"",", H "&amp;F262&amp;" m","")&amp;IF(G262&lt;&gt;"",", W "&amp;G262&amp;" m",""))</f>
        <v/>
      </c>
      <c r="C262" s="9"/>
      <c r="D262" s="9"/>
      <c r="E262" s="38"/>
      <c r="F262" s="38"/>
      <c r="G262" s="38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37"/>
      <c r="U262" s="38"/>
      <c r="V262" s="39"/>
      <c r="W262" s="39"/>
      <c r="X262" s="9"/>
      <c r="Y262" s="9"/>
      <c r="Z262" s="9"/>
      <c r="AA262" s="9"/>
      <c r="AB262" s="9"/>
      <c r="AC262" s="40"/>
    </row>
    <row r="263" customFormat="false" ht="15" hidden="false" customHeight="false" outlineLevel="0" collapsed="false">
      <c r="A263" s="10" t="str">
        <f aca="false">IF(C263="","",IFERROR(VLOOKUP(C263,Lists!$Y$4:$Z$20,2,0),"??")&amp;"-"&amp;UPPER(SUBSTITUTE(D263," ",""))&amp;IF(E263&lt;&gt;"","-SP"&amp;TEXT(E263*1000,"0"),"")&amp;IF(F263&lt;&gt;"","-H"&amp;TEXT(F263*1000,"0"),"")&amp;"-"&amp;M263)</f>
        <v/>
      </c>
      <c r="B263" s="10" t="str">
        <f aca="false">IF(C263="","",C263&amp;" - "&amp;D263&amp;IF(E263&lt;&gt;"",", span "&amp;E263&amp;" m","")&amp;IF(F263&lt;&gt;"",", H "&amp;F263&amp;" m","")&amp;IF(G263&lt;&gt;"",", W "&amp;G263&amp;" m",""))</f>
        <v/>
      </c>
      <c r="C263" s="9"/>
      <c r="D263" s="9"/>
      <c r="E263" s="38"/>
      <c r="F263" s="38"/>
      <c r="G263" s="38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37"/>
      <c r="U263" s="38"/>
      <c r="V263" s="39"/>
      <c r="W263" s="39"/>
      <c r="X263" s="9"/>
      <c r="Y263" s="9"/>
      <c r="Z263" s="9"/>
      <c r="AA263" s="9"/>
      <c r="AB263" s="9"/>
      <c r="AC263" s="40"/>
    </row>
    <row r="264" customFormat="false" ht="15" hidden="false" customHeight="false" outlineLevel="0" collapsed="false">
      <c r="A264" s="10" t="str">
        <f aca="false">IF(C264="","",IFERROR(VLOOKUP(C264,Lists!$Y$4:$Z$20,2,0),"??")&amp;"-"&amp;UPPER(SUBSTITUTE(D264," ",""))&amp;IF(E264&lt;&gt;"","-SP"&amp;TEXT(E264*1000,"0"),"")&amp;IF(F264&lt;&gt;"","-H"&amp;TEXT(F264*1000,"0"),"")&amp;"-"&amp;M264)</f>
        <v/>
      </c>
      <c r="B264" s="10" t="str">
        <f aca="false">IF(C264="","",C264&amp;" - "&amp;D264&amp;IF(E264&lt;&gt;"",", span "&amp;E264&amp;" m","")&amp;IF(F264&lt;&gt;"",", H "&amp;F264&amp;" m","")&amp;IF(G264&lt;&gt;"",", W "&amp;G264&amp;" m",""))</f>
        <v/>
      </c>
      <c r="C264" s="9"/>
      <c r="D264" s="9"/>
      <c r="E264" s="38"/>
      <c r="F264" s="38"/>
      <c r="G264" s="38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37"/>
      <c r="U264" s="38"/>
      <c r="V264" s="39"/>
      <c r="W264" s="39"/>
      <c r="X264" s="9"/>
      <c r="Y264" s="9"/>
      <c r="Z264" s="9"/>
      <c r="AA264" s="9"/>
      <c r="AB264" s="9"/>
      <c r="AC264" s="40"/>
    </row>
    <row r="265" customFormat="false" ht="15" hidden="false" customHeight="false" outlineLevel="0" collapsed="false">
      <c r="A265" s="10" t="str">
        <f aca="false">IF(C265="","",IFERROR(VLOOKUP(C265,Lists!$Y$4:$Z$20,2,0),"??")&amp;"-"&amp;UPPER(SUBSTITUTE(D265," ",""))&amp;IF(E265&lt;&gt;"","-SP"&amp;TEXT(E265*1000,"0"),"")&amp;IF(F265&lt;&gt;"","-H"&amp;TEXT(F265*1000,"0"),"")&amp;"-"&amp;M265)</f>
        <v/>
      </c>
      <c r="B265" s="10" t="str">
        <f aca="false">IF(C265="","",C265&amp;" - "&amp;D265&amp;IF(E265&lt;&gt;"",", span "&amp;E265&amp;" m","")&amp;IF(F265&lt;&gt;"",", H "&amp;F265&amp;" m","")&amp;IF(G265&lt;&gt;"",", W "&amp;G265&amp;" m",""))</f>
        <v/>
      </c>
      <c r="C265" s="9"/>
      <c r="D265" s="9"/>
      <c r="E265" s="38"/>
      <c r="F265" s="38"/>
      <c r="G265" s="38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37"/>
      <c r="U265" s="38"/>
      <c r="V265" s="39"/>
      <c r="W265" s="39"/>
      <c r="X265" s="9"/>
      <c r="Y265" s="9"/>
      <c r="Z265" s="9"/>
      <c r="AA265" s="9"/>
      <c r="AB265" s="9"/>
      <c r="AC265" s="40"/>
    </row>
    <row r="266" customFormat="false" ht="15" hidden="false" customHeight="false" outlineLevel="0" collapsed="false">
      <c r="A266" s="10" t="str">
        <f aca="false">IF(C266="","",IFERROR(VLOOKUP(C266,Lists!$Y$4:$Z$20,2,0),"??")&amp;"-"&amp;UPPER(SUBSTITUTE(D266," ",""))&amp;IF(E266&lt;&gt;"","-SP"&amp;TEXT(E266*1000,"0"),"")&amp;IF(F266&lt;&gt;"","-H"&amp;TEXT(F266*1000,"0"),"")&amp;"-"&amp;M266)</f>
        <v/>
      </c>
      <c r="B266" s="10" t="str">
        <f aca="false">IF(C266="","",C266&amp;" - "&amp;D266&amp;IF(E266&lt;&gt;"",", span "&amp;E266&amp;" m","")&amp;IF(F266&lt;&gt;"",", H "&amp;F266&amp;" m","")&amp;IF(G266&lt;&gt;"",", W "&amp;G266&amp;" m",""))</f>
        <v/>
      </c>
      <c r="C266" s="9"/>
      <c r="D266" s="9"/>
      <c r="E266" s="38"/>
      <c r="F266" s="38"/>
      <c r="G266" s="38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37"/>
      <c r="U266" s="38"/>
      <c r="V266" s="39"/>
      <c r="W266" s="39"/>
      <c r="X266" s="9"/>
      <c r="Y266" s="9"/>
      <c r="Z266" s="9"/>
      <c r="AA266" s="9"/>
      <c r="AB266" s="9"/>
      <c r="AC266" s="40"/>
    </row>
    <row r="267" customFormat="false" ht="15" hidden="false" customHeight="false" outlineLevel="0" collapsed="false">
      <c r="A267" s="10" t="str">
        <f aca="false">IF(C267="","",IFERROR(VLOOKUP(C267,Lists!$Y$4:$Z$20,2,0),"??")&amp;"-"&amp;UPPER(SUBSTITUTE(D267," ",""))&amp;IF(E267&lt;&gt;"","-SP"&amp;TEXT(E267*1000,"0"),"")&amp;IF(F267&lt;&gt;"","-H"&amp;TEXT(F267*1000,"0"),"")&amp;"-"&amp;M267)</f>
        <v/>
      </c>
      <c r="B267" s="10" t="str">
        <f aca="false">IF(C267="","",C267&amp;" - "&amp;D267&amp;IF(E267&lt;&gt;"",", span "&amp;E267&amp;" m","")&amp;IF(F267&lt;&gt;"",", H "&amp;F267&amp;" m","")&amp;IF(G267&lt;&gt;"",", W "&amp;G267&amp;" m",""))</f>
        <v/>
      </c>
      <c r="C267" s="9"/>
      <c r="D267" s="9"/>
      <c r="E267" s="38"/>
      <c r="F267" s="38"/>
      <c r="G267" s="38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37"/>
      <c r="U267" s="38"/>
      <c r="V267" s="39"/>
      <c r="W267" s="39"/>
      <c r="X267" s="9"/>
      <c r="Y267" s="9"/>
      <c r="Z267" s="9"/>
      <c r="AA267" s="9"/>
      <c r="AB267" s="9"/>
      <c r="AC267" s="40"/>
    </row>
    <row r="268" customFormat="false" ht="15" hidden="false" customHeight="false" outlineLevel="0" collapsed="false">
      <c r="A268" s="10" t="str">
        <f aca="false">IF(C268="","",IFERROR(VLOOKUP(C268,Lists!$Y$4:$Z$20,2,0),"??")&amp;"-"&amp;UPPER(SUBSTITUTE(D268," ",""))&amp;IF(E268&lt;&gt;"","-SP"&amp;TEXT(E268*1000,"0"),"")&amp;IF(F268&lt;&gt;"","-H"&amp;TEXT(F268*1000,"0"),"")&amp;"-"&amp;M268)</f>
        <v/>
      </c>
      <c r="B268" s="10" t="str">
        <f aca="false">IF(C268="","",C268&amp;" - "&amp;D268&amp;IF(E268&lt;&gt;"",", span "&amp;E268&amp;" m","")&amp;IF(F268&lt;&gt;"",", H "&amp;F268&amp;" m","")&amp;IF(G268&lt;&gt;"",", W "&amp;G268&amp;" m",""))</f>
        <v/>
      </c>
      <c r="C268" s="9"/>
      <c r="D268" s="9"/>
      <c r="E268" s="38"/>
      <c r="F268" s="38"/>
      <c r="G268" s="38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37"/>
      <c r="U268" s="38"/>
      <c r="V268" s="39"/>
      <c r="W268" s="39"/>
      <c r="X268" s="9"/>
      <c r="Y268" s="9"/>
      <c r="Z268" s="9"/>
      <c r="AA268" s="9"/>
      <c r="AB268" s="9"/>
      <c r="AC268" s="40"/>
    </row>
    <row r="269" customFormat="false" ht="15" hidden="false" customHeight="false" outlineLevel="0" collapsed="false">
      <c r="A269" s="10" t="str">
        <f aca="false">IF(C269="","",IFERROR(VLOOKUP(C269,Lists!$Y$4:$Z$20,2,0),"??")&amp;"-"&amp;UPPER(SUBSTITUTE(D269," ",""))&amp;IF(E269&lt;&gt;"","-SP"&amp;TEXT(E269*1000,"0"),"")&amp;IF(F269&lt;&gt;"","-H"&amp;TEXT(F269*1000,"0"),"")&amp;"-"&amp;M269)</f>
        <v/>
      </c>
      <c r="B269" s="10" t="str">
        <f aca="false">IF(C269="","",C269&amp;" - "&amp;D269&amp;IF(E269&lt;&gt;"",", span "&amp;E269&amp;" m","")&amp;IF(F269&lt;&gt;"",", H "&amp;F269&amp;" m","")&amp;IF(G269&lt;&gt;"",", W "&amp;G269&amp;" m",""))</f>
        <v/>
      </c>
      <c r="C269" s="9"/>
      <c r="D269" s="9"/>
      <c r="E269" s="38"/>
      <c r="F269" s="38"/>
      <c r="G269" s="38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37"/>
      <c r="U269" s="38"/>
      <c r="V269" s="39"/>
      <c r="W269" s="39"/>
      <c r="X269" s="9"/>
      <c r="Y269" s="9"/>
      <c r="Z269" s="9"/>
      <c r="AA269" s="9"/>
      <c r="AB269" s="9"/>
      <c r="AC269" s="40"/>
    </row>
    <row r="270" customFormat="false" ht="15" hidden="false" customHeight="false" outlineLevel="0" collapsed="false">
      <c r="A270" s="10" t="str">
        <f aca="false">IF(C270="","",IFERROR(VLOOKUP(C270,Lists!$Y$4:$Z$20,2,0),"??")&amp;"-"&amp;UPPER(SUBSTITUTE(D270," ",""))&amp;IF(E270&lt;&gt;"","-SP"&amp;TEXT(E270*1000,"0"),"")&amp;IF(F270&lt;&gt;"","-H"&amp;TEXT(F270*1000,"0"),"")&amp;"-"&amp;M270)</f>
        <v/>
      </c>
      <c r="B270" s="10" t="str">
        <f aca="false">IF(C270="","",C270&amp;" - "&amp;D270&amp;IF(E270&lt;&gt;"",", span "&amp;E270&amp;" m","")&amp;IF(F270&lt;&gt;"",", H "&amp;F270&amp;" m","")&amp;IF(G270&lt;&gt;"",", W "&amp;G270&amp;" m",""))</f>
        <v/>
      </c>
      <c r="C270" s="9"/>
      <c r="D270" s="9"/>
      <c r="E270" s="38"/>
      <c r="F270" s="38"/>
      <c r="G270" s="38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37"/>
      <c r="U270" s="38"/>
      <c r="V270" s="39"/>
      <c r="W270" s="39"/>
      <c r="X270" s="9"/>
      <c r="Y270" s="9"/>
      <c r="Z270" s="9"/>
      <c r="AA270" s="9"/>
      <c r="AB270" s="9"/>
      <c r="AC270" s="40"/>
    </row>
    <row r="271" customFormat="false" ht="15" hidden="false" customHeight="false" outlineLevel="0" collapsed="false">
      <c r="A271" s="10" t="str">
        <f aca="false">IF(C271="","",IFERROR(VLOOKUP(C271,Lists!$Y$4:$Z$20,2,0),"??")&amp;"-"&amp;UPPER(SUBSTITUTE(D271," ",""))&amp;IF(E271&lt;&gt;"","-SP"&amp;TEXT(E271*1000,"0"),"")&amp;IF(F271&lt;&gt;"","-H"&amp;TEXT(F271*1000,"0"),"")&amp;"-"&amp;M271)</f>
        <v/>
      </c>
      <c r="B271" s="10" t="str">
        <f aca="false">IF(C271="","",C271&amp;" - "&amp;D271&amp;IF(E271&lt;&gt;"",", span "&amp;E271&amp;" m","")&amp;IF(F271&lt;&gt;"",", H "&amp;F271&amp;" m","")&amp;IF(G271&lt;&gt;"",", W "&amp;G271&amp;" m",""))</f>
        <v/>
      </c>
      <c r="C271" s="9"/>
      <c r="D271" s="9"/>
      <c r="E271" s="38"/>
      <c r="F271" s="38"/>
      <c r="G271" s="38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37"/>
      <c r="U271" s="38"/>
      <c r="V271" s="39"/>
      <c r="W271" s="39"/>
      <c r="X271" s="9"/>
      <c r="Y271" s="9"/>
      <c r="Z271" s="9"/>
      <c r="AA271" s="9"/>
      <c r="AB271" s="9"/>
      <c r="AC271" s="40"/>
    </row>
    <row r="272" customFormat="false" ht="15" hidden="false" customHeight="false" outlineLevel="0" collapsed="false">
      <c r="A272" s="10" t="str">
        <f aca="false">IF(C272="","",IFERROR(VLOOKUP(C272,Lists!$Y$4:$Z$20,2,0),"??")&amp;"-"&amp;UPPER(SUBSTITUTE(D272," ",""))&amp;IF(E272&lt;&gt;"","-SP"&amp;TEXT(E272*1000,"0"),"")&amp;IF(F272&lt;&gt;"","-H"&amp;TEXT(F272*1000,"0"),"")&amp;"-"&amp;M272)</f>
        <v/>
      </c>
      <c r="B272" s="10" t="str">
        <f aca="false">IF(C272="","",C272&amp;" - "&amp;D272&amp;IF(E272&lt;&gt;"",", span "&amp;E272&amp;" m","")&amp;IF(F272&lt;&gt;"",", H "&amp;F272&amp;" m","")&amp;IF(G272&lt;&gt;"",", W "&amp;G272&amp;" m",""))</f>
        <v/>
      </c>
      <c r="C272" s="9"/>
      <c r="D272" s="9"/>
      <c r="E272" s="38"/>
      <c r="F272" s="38"/>
      <c r="G272" s="38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37"/>
      <c r="U272" s="38"/>
      <c r="V272" s="39"/>
      <c r="W272" s="39"/>
      <c r="X272" s="9"/>
      <c r="Y272" s="9"/>
      <c r="Z272" s="9"/>
      <c r="AA272" s="9"/>
      <c r="AB272" s="9"/>
      <c r="AC272" s="40"/>
    </row>
    <row r="273" customFormat="false" ht="15" hidden="false" customHeight="false" outlineLevel="0" collapsed="false">
      <c r="A273" s="10" t="str">
        <f aca="false">IF(C273="","",IFERROR(VLOOKUP(C273,Lists!$Y$4:$Z$20,2,0),"??")&amp;"-"&amp;UPPER(SUBSTITUTE(D273," ",""))&amp;IF(E273&lt;&gt;"","-SP"&amp;TEXT(E273*1000,"0"),"")&amp;IF(F273&lt;&gt;"","-H"&amp;TEXT(F273*1000,"0"),"")&amp;"-"&amp;M273)</f>
        <v/>
      </c>
      <c r="B273" s="10" t="str">
        <f aca="false">IF(C273="","",C273&amp;" - "&amp;D273&amp;IF(E273&lt;&gt;"",", span "&amp;E273&amp;" m","")&amp;IF(F273&lt;&gt;"",", H "&amp;F273&amp;" m","")&amp;IF(G273&lt;&gt;"",", W "&amp;G273&amp;" m",""))</f>
        <v/>
      </c>
      <c r="C273" s="9"/>
      <c r="D273" s="9"/>
      <c r="E273" s="38"/>
      <c r="F273" s="38"/>
      <c r="G273" s="38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37"/>
      <c r="U273" s="38"/>
      <c r="V273" s="39"/>
      <c r="W273" s="39"/>
      <c r="X273" s="9"/>
      <c r="Y273" s="9"/>
      <c r="Z273" s="9"/>
      <c r="AA273" s="9"/>
      <c r="AB273" s="9"/>
      <c r="AC273" s="40"/>
    </row>
    <row r="274" customFormat="false" ht="15" hidden="false" customHeight="false" outlineLevel="0" collapsed="false">
      <c r="A274" s="10" t="str">
        <f aca="false">IF(C274="","",IFERROR(VLOOKUP(C274,Lists!$Y$4:$Z$20,2,0),"??")&amp;"-"&amp;UPPER(SUBSTITUTE(D274," ",""))&amp;IF(E274&lt;&gt;"","-SP"&amp;TEXT(E274*1000,"0"),"")&amp;IF(F274&lt;&gt;"","-H"&amp;TEXT(F274*1000,"0"),"")&amp;"-"&amp;M274)</f>
        <v/>
      </c>
      <c r="B274" s="10" t="str">
        <f aca="false">IF(C274="","",C274&amp;" - "&amp;D274&amp;IF(E274&lt;&gt;"",", span "&amp;E274&amp;" m","")&amp;IF(F274&lt;&gt;"",", H "&amp;F274&amp;" m","")&amp;IF(G274&lt;&gt;"",", W "&amp;G274&amp;" m",""))</f>
        <v/>
      </c>
      <c r="C274" s="9"/>
      <c r="D274" s="9"/>
      <c r="E274" s="38"/>
      <c r="F274" s="38"/>
      <c r="G274" s="38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37"/>
      <c r="U274" s="38"/>
      <c r="V274" s="39"/>
      <c r="W274" s="39"/>
      <c r="X274" s="9"/>
      <c r="Y274" s="9"/>
      <c r="Z274" s="9"/>
      <c r="AA274" s="9"/>
      <c r="AB274" s="9"/>
      <c r="AC274" s="40"/>
    </row>
    <row r="275" customFormat="false" ht="15" hidden="false" customHeight="false" outlineLevel="0" collapsed="false">
      <c r="A275" s="10" t="str">
        <f aca="false">IF(C275="","",IFERROR(VLOOKUP(C275,Lists!$Y$4:$Z$20,2,0),"??")&amp;"-"&amp;UPPER(SUBSTITUTE(D275," ",""))&amp;IF(E275&lt;&gt;"","-SP"&amp;TEXT(E275*1000,"0"),"")&amp;IF(F275&lt;&gt;"","-H"&amp;TEXT(F275*1000,"0"),"")&amp;"-"&amp;M275)</f>
        <v/>
      </c>
      <c r="B275" s="10" t="str">
        <f aca="false">IF(C275="","",C275&amp;" - "&amp;D275&amp;IF(E275&lt;&gt;"",", span "&amp;E275&amp;" m","")&amp;IF(F275&lt;&gt;"",", H "&amp;F275&amp;" m","")&amp;IF(G275&lt;&gt;"",", W "&amp;G275&amp;" m",""))</f>
        <v/>
      </c>
      <c r="C275" s="9"/>
      <c r="D275" s="9"/>
      <c r="E275" s="38"/>
      <c r="F275" s="38"/>
      <c r="G275" s="38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37"/>
      <c r="U275" s="38"/>
      <c r="V275" s="39"/>
      <c r="W275" s="39"/>
      <c r="X275" s="9"/>
      <c r="Y275" s="9"/>
      <c r="Z275" s="9"/>
      <c r="AA275" s="9"/>
      <c r="AB275" s="9"/>
      <c r="AC275" s="40"/>
    </row>
    <row r="276" customFormat="false" ht="15" hidden="false" customHeight="false" outlineLevel="0" collapsed="false">
      <c r="A276" s="10" t="str">
        <f aca="false">IF(C276="","",IFERROR(VLOOKUP(C276,Lists!$Y$4:$Z$20,2,0),"??")&amp;"-"&amp;UPPER(SUBSTITUTE(D276," ",""))&amp;IF(E276&lt;&gt;"","-SP"&amp;TEXT(E276*1000,"0"),"")&amp;IF(F276&lt;&gt;"","-H"&amp;TEXT(F276*1000,"0"),"")&amp;"-"&amp;M276)</f>
        <v/>
      </c>
      <c r="B276" s="10" t="str">
        <f aca="false">IF(C276="","",C276&amp;" - "&amp;D276&amp;IF(E276&lt;&gt;"",", span "&amp;E276&amp;" m","")&amp;IF(F276&lt;&gt;"",", H "&amp;F276&amp;" m","")&amp;IF(G276&lt;&gt;"",", W "&amp;G276&amp;" m",""))</f>
        <v/>
      </c>
      <c r="C276" s="9"/>
      <c r="D276" s="9"/>
      <c r="E276" s="38"/>
      <c r="F276" s="38"/>
      <c r="G276" s="38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37"/>
      <c r="U276" s="38"/>
      <c r="V276" s="39"/>
      <c r="W276" s="39"/>
      <c r="X276" s="9"/>
      <c r="Y276" s="9"/>
      <c r="Z276" s="9"/>
      <c r="AA276" s="9"/>
      <c r="AB276" s="9"/>
      <c r="AC276" s="40"/>
    </row>
    <row r="277" customFormat="false" ht="15" hidden="false" customHeight="false" outlineLevel="0" collapsed="false">
      <c r="A277" s="10" t="str">
        <f aca="false">IF(C277="","",IFERROR(VLOOKUP(C277,Lists!$Y$4:$Z$20,2,0),"??")&amp;"-"&amp;UPPER(SUBSTITUTE(D277," ",""))&amp;IF(E277&lt;&gt;"","-SP"&amp;TEXT(E277*1000,"0"),"")&amp;IF(F277&lt;&gt;"","-H"&amp;TEXT(F277*1000,"0"),"")&amp;"-"&amp;M277)</f>
        <v/>
      </c>
      <c r="B277" s="10" t="str">
        <f aca="false">IF(C277="","",C277&amp;" - "&amp;D277&amp;IF(E277&lt;&gt;"",", span "&amp;E277&amp;" m","")&amp;IF(F277&lt;&gt;"",", H "&amp;F277&amp;" m","")&amp;IF(G277&lt;&gt;"",", W "&amp;G277&amp;" m",""))</f>
        <v/>
      </c>
      <c r="C277" s="9"/>
      <c r="D277" s="9"/>
      <c r="E277" s="38"/>
      <c r="F277" s="38"/>
      <c r="G277" s="38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37"/>
      <c r="U277" s="38"/>
      <c r="V277" s="39"/>
      <c r="W277" s="39"/>
      <c r="X277" s="9"/>
      <c r="Y277" s="9"/>
      <c r="Z277" s="9"/>
      <c r="AA277" s="9"/>
      <c r="AB277" s="9"/>
      <c r="AC277" s="40"/>
    </row>
    <row r="278" customFormat="false" ht="15" hidden="false" customHeight="false" outlineLevel="0" collapsed="false">
      <c r="A278" s="10" t="str">
        <f aca="false">IF(C278="","",IFERROR(VLOOKUP(C278,Lists!$Y$4:$Z$20,2,0),"??")&amp;"-"&amp;UPPER(SUBSTITUTE(D278," ",""))&amp;IF(E278&lt;&gt;"","-SP"&amp;TEXT(E278*1000,"0"),"")&amp;IF(F278&lt;&gt;"","-H"&amp;TEXT(F278*1000,"0"),"")&amp;"-"&amp;M278)</f>
        <v/>
      </c>
      <c r="B278" s="10" t="str">
        <f aca="false">IF(C278="","",C278&amp;" - "&amp;D278&amp;IF(E278&lt;&gt;"",", span "&amp;E278&amp;" m","")&amp;IF(F278&lt;&gt;"",", H "&amp;F278&amp;" m","")&amp;IF(G278&lt;&gt;"",", W "&amp;G278&amp;" m",""))</f>
        <v/>
      </c>
      <c r="C278" s="9"/>
      <c r="D278" s="9"/>
      <c r="E278" s="38"/>
      <c r="F278" s="38"/>
      <c r="G278" s="38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37"/>
      <c r="U278" s="38"/>
      <c r="V278" s="39"/>
      <c r="W278" s="39"/>
      <c r="X278" s="9"/>
      <c r="Y278" s="9"/>
      <c r="Z278" s="9"/>
      <c r="AA278" s="9"/>
      <c r="AB278" s="9"/>
      <c r="AC278" s="40"/>
    </row>
    <row r="279" customFormat="false" ht="15" hidden="false" customHeight="false" outlineLevel="0" collapsed="false">
      <c r="A279" s="10" t="str">
        <f aca="false">IF(C279="","",IFERROR(VLOOKUP(C279,Lists!$Y$4:$Z$20,2,0),"??")&amp;"-"&amp;UPPER(SUBSTITUTE(D279," ",""))&amp;IF(E279&lt;&gt;"","-SP"&amp;TEXT(E279*1000,"0"),"")&amp;IF(F279&lt;&gt;"","-H"&amp;TEXT(F279*1000,"0"),"")&amp;"-"&amp;M279)</f>
        <v/>
      </c>
      <c r="B279" s="10" t="str">
        <f aca="false">IF(C279="","",C279&amp;" - "&amp;D279&amp;IF(E279&lt;&gt;"",", span "&amp;E279&amp;" m","")&amp;IF(F279&lt;&gt;"",", H "&amp;F279&amp;" m","")&amp;IF(G279&lt;&gt;"",", W "&amp;G279&amp;" m",""))</f>
        <v/>
      </c>
      <c r="C279" s="9"/>
      <c r="D279" s="9"/>
      <c r="E279" s="38"/>
      <c r="F279" s="38"/>
      <c r="G279" s="38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37"/>
      <c r="U279" s="38"/>
      <c r="V279" s="39"/>
      <c r="W279" s="39"/>
      <c r="X279" s="9"/>
      <c r="Y279" s="9"/>
      <c r="Z279" s="9"/>
      <c r="AA279" s="9"/>
      <c r="AB279" s="9"/>
      <c r="AC279" s="40"/>
    </row>
    <row r="280" customFormat="false" ht="15" hidden="false" customHeight="false" outlineLevel="0" collapsed="false">
      <c r="A280" s="10" t="str">
        <f aca="false">IF(C280="","",IFERROR(VLOOKUP(C280,Lists!$Y$4:$Z$20,2,0),"??")&amp;"-"&amp;UPPER(SUBSTITUTE(D280," ",""))&amp;IF(E280&lt;&gt;"","-SP"&amp;TEXT(E280*1000,"0"),"")&amp;IF(F280&lt;&gt;"","-H"&amp;TEXT(F280*1000,"0"),"")&amp;"-"&amp;M280)</f>
        <v/>
      </c>
      <c r="B280" s="10" t="str">
        <f aca="false">IF(C280="","",C280&amp;" - "&amp;D280&amp;IF(E280&lt;&gt;"",", span "&amp;E280&amp;" m","")&amp;IF(F280&lt;&gt;"",", H "&amp;F280&amp;" m","")&amp;IF(G280&lt;&gt;"",", W "&amp;G280&amp;" m",""))</f>
        <v/>
      </c>
      <c r="C280" s="9"/>
      <c r="D280" s="9"/>
      <c r="E280" s="38"/>
      <c r="F280" s="38"/>
      <c r="G280" s="38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37"/>
      <c r="U280" s="38"/>
      <c r="V280" s="39"/>
      <c r="W280" s="39"/>
      <c r="X280" s="9"/>
      <c r="Y280" s="9"/>
      <c r="Z280" s="9"/>
      <c r="AA280" s="9"/>
      <c r="AB280" s="9"/>
      <c r="AC280" s="40"/>
    </row>
    <row r="281" customFormat="false" ht="15" hidden="false" customHeight="false" outlineLevel="0" collapsed="false">
      <c r="A281" s="10" t="str">
        <f aca="false">IF(C281="","",IFERROR(VLOOKUP(C281,Lists!$Y$4:$Z$20,2,0),"??")&amp;"-"&amp;UPPER(SUBSTITUTE(D281," ",""))&amp;IF(E281&lt;&gt;"","-SP"&amp;TEXT(E281*1000,"0"),"")&amp;IF(F281&lt;&gt;"","-H"&amp;TEXT(F281*1000,"0"),"")&amp;"-"&amp;M281)</f>
        <v/>
      </c>
      <c r="B281" s="10" t="str">
        <f aca="false">IF(C281="","",C281&amp;" - "&amp;D281&amp;IF(E281&lt;&gt;"",", span "&amp;E281&amp;" m","")&amp;IF(F281&lt;&gt;"",", H "&amp;F281&amp;" m","")&amp;IF(G281&lt;&gt;"",", W "&amp;G281&amp;" m",""))</f>
        <v/>
      </c>
      <c r="C281" s="9"/>
      <c r="D281" s="9"/>
      <c r="E281" s="38"/>
      <c r="F281" s="38"/>
      <c r="G281" s="38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37"/>
      <c r="U281" s="38"/>
      <c r="V281" s="39"/>
      <c r="W281" s="39"/>
      <c r="X281" s="9"/>
      <c r="Y281" s="9"/>
      <c r="Z281" s="9"/>
      <c r="AA281" s="9"/>
      <c r="AB281" s="9"/>
      <c r="AC281" s="40"/>
    </row>
    <row r="282" customFormat="false" ht="15" hidden="false" customHeight="false" outlineLevel="0" collapsed="false">
      <c r="A282" s="10" t="str">
        <f aca="false">IF(C282="","",IFERROR(VLOOKUP(C282,Lists!$Y$4:$Z$20,2,0),"??")&amp;"-"&amp;UPPER(SUBSTITUTE(D282," ",""))&amp;IF(E282&lt;&gt;"","-SP"&amp;TEXT(E282*1000,"0"),"")&amp;IF(F282&lt;&gt;"","-H"&amp;TEXT(F282*1000,"0"),"")&amp;"-"&amp;M282)</f>
        <v/>
      </c>
      <c r="B282" s="10" t="str">
        <f aca="false">IF(C282="","",C282&amp;" - "&amp;D282&amp;IF(E282&lt;&gt;"",", span "&amp;E282&amp;" m","")&amp;IF(F282&lt;&gt;"",", H "&amp;F282&amp;" m","")&amp;IF(G282&lt;&gt;"",", W "&amp;G282&amp;" m",""))</f>
        <v/>
      </c>
      <c r="C282" s="9"/>
      <c r="D282" s="9"/>
      <c r="E282" s="38"/>
      <c r="F282" s="38"/>
      <c r="G282" s="38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37"/>
      <c r="U282" s="38"/>
      <c r="V282" s="39"/>
      <c r="W282" s="39"/>
      <c r="X282" s="9"/>
      <c r="Y282" s="9"/>
      <c r="Z282" s="9"/>
      <c r="AA282" s="9"/>
      <c r="AB282" s="9"/>
      <c r="AC282" s="40"/>
    </row>
    <row r="283" customFormat="false" ht="15" hidden="false" customHeight="false" outlineLevel="0" collapsed="false">
      <c r="A283" s="10" t="str">
        <f aca="false">IF(C283="","",IFERROR(VLOOKUP(C283,Lists!$Y$4:$Z$20,2,0),"??")&amp;"-"&amp;UPPER(SUBSTITUTE(D283," ",""))&amp;IF(E283&lt;&gt;"","-SP"&amp;TEXT(E283*1000,"0"),"")&amp;IF(F283&lt;&gt;"","-H"&amp;TEXT(F283*1000,"0"),"")&amp;"-"&amp;M283)</f>
        <v/>
      </c>
      <c r="B283" s="10" t="str">
        <f aca="false">IF(C283="","",C283&amp;" - "&amp;D283&amp;IF(E283&lt;&gt;"",", span "&amp;E283&amp;" m","")&amp;IF(F283&lt;&gt;"",", H "&amp;F283&amp;" m","")&amp;IF(G283&lt;&gt;"",", W "&amp;G283&amp;" m",""))</f>
        <v/>
      </c>
      <c r="C283" s="9"/>
      <c r="D283" s="9"/>
      <c r="E283" s="38"/>
      <c r="F283" s="38"/>
      <c r="G283" s="38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37"/>
      <c r="U283" s="38"/>
      <c r="V283" s="39"/>
      <c r="W283" s="39"/>
      <c r="X283" s="9"/>
      <c r="Y283" s="9"/>
      <c r="Z283" s="9"/>
      <c r="AA283" s="9"/>
      <c r="AB283" s="9"/>
      <c r="AC283" s="40"/>
    </row>
    <row r="284" customFormat="false" ht="15" hidden="false" customHeight="false" outlineLevel="0" collapsed="false">
      <c r="A284" s="10" t="str">
        <f aca="false">IF(C284="","",IFERROR(VLOOKUP(C284,Lists!$Y$4:$Z$20,2,0),"??")&amp;"-"&amp;UPPER(SUBSTITUTE(D284," ",""))&amp;IF(E284&lt;&gt;"","-SP"&amp;TEXT(E284*1000,"0"),"")&amp;IF(F284&lt;&gt;"","-H"&amp;TEXT(F284*1000,"0"),"")&amp;"-"&amp;M284)</f>
        <v/>
      </c>
      <c r="B284" s="10" t="str">
        <f aca="false">IF(C284="","",C284&amp;" - "&amp;D284&amp;IF(E284&lt;&gt;"",", span "&amp;E284&amp;" m","")&amp;IF(F284&lt;&gt;"",", H "&amp;F284&amp;" m","")&amp;IF(G284&lt;&gt;"",", W "&amp;G284&amp;" m",""))</f>
        <v/>
      </c>
      <c r="C284" s="9"/>
      <c r="D284" s="9"/>
      <c r="E284" s="38"/>
      <c r="F284" s="38"/>
      <c r="G284" s="38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37"/>
      <c r="U284" s="38"/>
      <c r="V284" s="39"/>
      <c r="W284" s="39"/>
      <c r="X284" s="9"/>
      <c r="Y284" s="9"/>
      <c r="Z284" s="9"/>
      <c r="AA284" s="9"/>
      <c r="AB284" s="9"/>
      <c r="AC284" s="40"/>
    </row>
    <row r="285" customFormat="false" ht="15" hidden="false" customHeight="false" outlineLevel="0" collapsed="false">
      <c r="A285" s="10" t="str">
        <f aca="false">IF(C285="","",IFERROR(VLOOKUP(C285,Lists!$Y$4:$Z$20,2,0),"??")&amp;"-"&amp;UPPER(SUBSTITUTE(D285," ",""))&amp;IF(E285&lt;&gt;"","-SP"&amp;TEXT(E285*1000,"0"),"")&amp;IF(F285&lt;&gt;"","-H"&amp;TEXT(F285*1000,"0"),"")&amp;"-"&amp;M285)</f>
        <v/>
      </c>
      <c r="B285" s="10" t="str">
        <f aca="false">IF(C285="","",C285&amp;" - "&amp;D285&amp;IF(E285&lt;&gt;"",", span "&amp;E285&amp;" m","")&amp;IF(F285&lt;&gt;"",", H "&amp;F285&amp;" m","")&amp;IF(G285&lt;&gt;"",", W "&amp;G285&amp;" m",""))</f>
        <v/>
      </c>
      <c r="C285" s="9"/>
      <c r="D285" s="9"/>
      <c r="E285" s="38"/>
      <c r="F285" s="38"/>
      <c r="G285" s="38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37"/>
      <c r="U285" s="38"/>
      <c r="V285" s="39"/>
      <c r="W285" s="39"/>
      <c r="X285" s="9"/>
      <c r="Y285" s="9"/>
      <c r="Z285" s="9"/>
      <c r="AA285" s="9"/>
      <c r="AB285" s="9"/>
      <c r="AC285" s="40"/>
    </row>
    <row r="286" customFormat="false" ht="15" hidden="false" customHeight="false" outlineLevel="0" collapsed="false">
      <c r="A286" s="10" t="str">
        <f aca="false">IF(C286="","",IFERROR(VLOOKUP(C286,Lists!$Y$4:$Z$20,2,0),"??")&amp;"-"&amp;UPPER(SUBSTITUTE(D286," ",""))&amp;IF(E286&lt;&gt;"","-SP"&amp;TEXT(E286*1000,"0"),"")&amp;IF(F286&lt;&gt;"","-H"&amp;TEXT(F286*1000,"0"),"")&amp;"-"&amp;M286)</f>
        <v/>
      </c>
      <c r="B286" s="10" t="str">
        <f aca="false">IF(C286="","",C286&amp;" - "&amp;D286&amp;IF(E286&lt;&gt;"",", span "&amp;E286&amp;" m","")&amp;IF(F286&lt;&gt;"",", H "&amp;F286&amp;" m","")&amp;IF(G286&lt;&gt;"",", W "&amp;G286&amp;" m",""))</f>
        <v/>
      </c>
      <c r="C286" s="9"/>
      <c r="D286" s="9"/>
      <c r="E286" s="38"/>
      <c r="F286" s="38"/>
      <c r="G286" s="38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37"/>
      <c r="U286" s="38"/>
      <c r="V286" s="39"/>
      <c r="W286" s="39"/>
      <c r="X286" s="9"/>
      <c r="Y286" s="9"/>
      <c r="Z286" s="9"/>
      <c r="AA286" s="9"/>
      <c r="AB286" s="9"/>
      <c r="AC286" s="40"/>
    </row>
    <row r="287" customFormat="false" ht="15" hidden="false" customHeight="false" outlineLevel="0" collapsed="false">
      <c r="A287" s="10" t="str">
        <f aca="false">IF(C287="","",IFERROR(VLOOKUP(C287,Lists!$Y$4:$Z$20,2,0),"??")&amp;"-"&amp;UPPER(SUBSTITUTE(D287," ",""))&amp;IF(E287&lt;&gt;"","-SP"&amp;TEXT(E287*1000,"0"),"")&amp;IF(F287&lt;&gt;"","-H"&amp;TEXT(F287*1000,"0"),"")&amp;"-"&amp;M287)</f>
        <v/>
      </c>
      <c r="B287" s="10" t="str">
        <f aca="false">IF(C287="","",C287&amp;" - "&amp;D287&amp;IF(E287&lt;&gt;"",", span "&amp;E287&amp;" m","")&amp;IF(F287&lt;&gt;"",", H "&amp;F287&amp;" m","")&amp;IF(G287&lt;&gt;"",", W "&amp;G287&amp;" m",""))</f>
        <v/>
      </c>
      <c r="C287" s="9"/>
      <c r="D287" s="9"/>
      <c r="E287" s="38"/>
      <c r="F287" s="38"/>
      <c r="G287" s="38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37"/>
      <c r="U287" s="38"/>
      <c r="V287" s="39"/>
      <c r="W287" s="39"/>
      <c r="X287" s="9"/>
      <c r="Y287" s="9"/>
      <c r="Z287" s="9"/>
      <c r="AA287" s="9"/>
      <c r="AB287" s="9"/>
      <c r="AC287" s="40"/>
    </row>
    <row r="288" customFormat="false" ht="15" hidden="false" customHeight="false" outlineLevel="0" collapsed="false">
      <c r="A288" s="10" t="str">
        <f aca="false">IF(C288="","",IFERROR(VLOOKUP(C288,Lists!$Y$4:$Z$20,2,0),"??")&amp;"-"&amp;UPPER(SUBSTITUTE(D288," ",""))&amp;IF(E288&lt;&gt;"","-SP"&amp;TEXT(E288*1000,"0"),"")&amp;IF(F288&lt;&gt;"","-H"&amp;TEXT(F288*1000,"0"),"")&amp;"-"&amp;M288)</f>
        <v/>
      </c>
      <c r="B288" s="10" t="str">
        <f aca="false">IF(C288="","",C288&amp;" - "&amp;D288&amp;IF(E288&lt;&gt;"",", span "&amp;E288&amp;" m","")&amp;IF(F288&lt;&gt;"",", H "&amp;F288&amp;" m","")&amp;IF(G288&lt;&gt;"",", W "&amp;G288&amp;" m",""))</f>
        <v/>
      </c>
      <c r="C288" s="9"/>
      <c r="D288" s="9"/>
      <c r="E288" s="38"/>
      <c r="F288" s="38"/>
      <c r="G288" s="38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37"/>
      <c r="U288" s="38"/>
      <c r="V288" s="39"/>
      <c r="W288" s="39"/>
      <c r="X288" s="9"/>
      <c r="Y288" s="9"/>
      <c r="Z288" s="9"/>
      <c r="AA288" s="9"/>
      <c r="AB288" s="9"/>
      <c r="AC288" s="40"/>
    </row>
    <row r="289" customFormat="false" ht="15" hidden="false" customHeight="false" outlineLevel="0" collapsed="false">
      <c r="A289" s="10" t="str">
        <f aca="false">IF(C289="","",IFERROR(VLOOKUP(C289,Lists!$Y$4:$Z$20,2,0),"??")&amp;"-"&amp;UPPER(SUBSTITUTE(D289," ",""))&amp;IF(E289&lt;&gt;"","-SP"&amp;TEXT(E289*1000,"0"),"")&amp;IF(F289&lt;&gt;"","-H"&amp;TEXT(F289*1000,"0"),"")&amp;"-"&amp;M289)</f>
        <v/>
      </c>
      <c r="B289" s="10" t="str">
        <f aca="false">IF(C289="","",C289&amp;" - "&amp;D289&amp;IF(E289&lt;&gt;"",", span "&amp;E289&amp;" m","")&amp;IF(F289&lt;&gt;"",", H "&amp;F289&amp;" m","")&amp;IF(G289&lt;&gt;"",", W "&amp;G289&amp;" m",""))</f>
        <v/>
      </c>
      <c r="C289" s="9"/>
      <c r="D289" s="9"/>
      <c r="E289" s="38"/>
      <c r="F289" s="38"/>
      <c r="G289" s="38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37"/>
      <c r="U289" s="38"/>
      <c r="V289" s="39"/>
      <c r="W289" s="39"/>
      <c r="X289" s="9"/>
      <c r="Y289" s="9"/>
      <c r="Z289" s="9"/>
      <c r="AA289" s="9"/>
      <c r="AB289" s="9"/>
      <c r="AC289" s="40"/>
    </row>
    <row r="290" customFormat="false" ht="15" hidden="false" customHeight="false" outlineLevel="0" collapsed="false">
      <c r="A290" s="10" t="str">
        <f aca="false">IF(C290="","",IFERROR(VLOOKUP(C290,Lists!$Y$4:$Z$20,2,0),"??")&amp;"-"&amp;UPPER(SUBSTITUTE(D290," ",""))&amp;IF(E290&lt;&gt;"","-SP"&amp;TEXT(E290*1000,"0"),"")&amp;IF(F290&lt;&gt;"","-H"&amp;TEXT(F290*1000,"0"),"")&amp;"-"&amp;M290)</f>
        <v/>
      </c>
      <c r="B290" s="10" t="str">
        <f aca="false">IF(C290="","",C290&amp;" - "&amp;D290&amp;IF(E290&lt;&gt;"",", span "&amp;E290&amp;" m","")&amp;IF(F290&lt;&gt;"",", H "&amp;F290&amp;" m","")&amp;IF(G290&lt;&gt;"",", W "&amp;G290&amp;" m",""))</f>
        <v/>
      </c>
      <c r="C290" s="9"/>
      <c r="D290" s="9"/>
      <c r="E290" s="38"/>
      <c r="F290" s="38"/>
      <c r="G290" s="38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37"/>
      <c r="U290" s="38"/>
      <c r="V290" s="39"/>
      <c r="W290" s="39"/>
      <c r="X290" s="9"/>
      <c r="Y290" s="9"/>
      <c r="Z290" s="9"/>
      <c r="AA290" s="9"/>
      <c r="AB290" s="9"/>
      <c r="AC290" s="40"/>
    </row>
    <row r="291" customFormat="false" ht="15" hidden="false" customHeight="false" outlineLevel="0" collapsed="false">
      <c r="A291" s="10" t="str">
        <f aca="false">IF(C291="","",IFERROR(VLOOKUP(C291,Lists!$Y$4:$Z$20,2,0),"??")&amp;"-"&amp;UPPER(SUBSTITUTE(D291," ",""))&amp;IF(E291&lt;&gt;"","-SP"&amp;TEXT(E291*1000,"0"),"")&amp;IF(F291&lt;&gt;"","-H"&amp;TEXT(F291*1000,"0"),"")&amp;"-"&amp;M291)</f>
        <v/>
      </c>
      <c r="B291" s="10" t="str">
        <f aca="false">IF(C291="","",C291&amp;" - "&amp;D291&amp;IF(E291&lt;&gt;"",", span "&amp;E291&amp;" m","")&amp;IF(F291&lt;&gt;"",", H "&amp;F291&amp;" m","")&amp;IF(G291&lt;&gt;"",", W "&amp;G291&amp;" m",""))</f>
        <v/>
      </c>
      <c r="C291" s="9"/>
      <c r="D291" s="9"/>
      <c r="E291" s="38"/>
      <c r="F291" s="38"/>
      <c r="G291" s="38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37"/>
      <c r="U291" s="38"/>
      <c r="V291" s="39"/>
      <c r="W291" s="39"/>
      <c r="X291" s="9"/>
      <c r="Y291" s="9"/>
      <c r="Z291" s="9"/>
      <c r="AA291" s="9"/>
      <c r="AB291" s="9"/>
      <c r="AC291" s="40"/>
    </row>
    <row r="292" customFormat="false" ht="15" hidden="false" customHeight="false" outlineLevel="0" collapsed="false">
      <c r="A292" s="10" t="str">
        <f aca="false">IF(C292="","",IFERROR(VLOOKUP(C292,Lists!$Y$4:$Z$20,2,0),"??")&amp;"-"&amp;UPPER(SUBSTITUTE(D292," ",""))&amp;IF(E292&lt;&gt;"","-SP"&amp;TEXT(E292*1000,"0"),"")&amp;IF(F292&lt;&gt;"","-H"&amp;TEXT(F292*1000,"0"),"")&amp;"-"&amp;M292)</f>
        <v/>
      </c>
      <c r="B292" s="10" t="str">
        <f aca="false">IF(C292="","",C292&amp;" - "&amp;D292&amp;IF(E292&lt;&gt;"",", span "&amp;E292&amp;" m","")&amp;IF(F292&lt;&gt;"",", H "&amp;F292&amp;" m","")&amp;IF(G292&lt;&gt;"",", W "&amp;G292&amp;" m",""))</f>
        <v/>
      </c>
      <c r="C292" s="9"/>
      <c r="D292" s="9"/>
      <c r="E292" s="38"/>
      <c r="F292" s="38"/>
      <c r="G292" s="38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37"/>
      <c r="U292" s="38"/>
      <c r="V292" s="39"/>
      <c r="W292" s="39"/>
      <c r="X292" s="9"/>
      <c r="Y292" s="9"/>
      <c r="Z292" s="9"/>
      <c r="AA292" s="9"/>
      <c r="AB292" s="9"/>
      <c r="AC292" s="40"/>
    </row>
    <row r="293" customFormat="false" ht="15" hidden="false" customHeight="false" outlineLevel="0" collapsed="false">
      <c r="A293" s="10" t="str">
        <f aca="false">IF(C293="","",IFERROR(VLOOKUP(C293,Lists!$Y$4:$Z$20,2,0),"??")&amp;"-"&amp;UPPER(SUBSTITUTE(D293," ",""))&amp;IF(E293&lt;&gt;"","-SP"&amp;TEXT(E293*1000,"0"),"")&amp;IF(F293&lt;&gt;"","-H"&amp;TEXT(F293*1000,"0"),"")&amp;"-"&amp;M293)</f>
        <v/>
      </c>
      <c r="B293" s="10" t="str">
        <f aca="false">IF(C293="","",C293&amp;" - "&amp;D293&amp;IF(E293&lt;&gt;"",", span "&amp;E293&amp;" m","")&amp;IF(F293&lt;&gt;"",", H "&amp;F293&amp;" m","")&amp;IF(G293&lt;&gt;"",", W "&amp;G293&amp;" m",""))</f>
        <v/>
      </c>
      <c r="C293" s="9"/>
      <c r="D293" s="9"/>
      <c r="E293" s="38"/>
      <c r="F293" s="38"/>
      <c r="G293" s="38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37"/>
      <c r="U293" s="38"/>
      <c r="V293" s="39"/>
      <c r="W293" s="39"/>
      <c r="X293" s="9"/>
      <c r="Y293" s="9"/>
      <c r="Z293" s="9"/>
      <c r="AA293" s="9"/>
      <c r="AB293" s="9"/>
      <c r="AC293" s="40"/>
    </row>
    <row r="294" customFormat="false" ht="15" hidden="false" customHeight="false" outlineLevel="0" collapsed="false">
      <c r="A294" s="10" t="str">
        <f aca="false">IF(C294="","",IFERROR(VLOOKUP(C294,Lists!$Y$4:$Z$20,2,0),"??")&amp;"-"&amp;UPPER(SUBSTITUTE(D294," ",""))&amp;IF(E294&lt;&gt;"","-SP"&amp;TEXT(E294*1000,"0"),"")&amp;IF(F294&lt;&gt;"","-H"&amp;TEXT(F294*1000,"0"),"")&amp;"-"&amp;M294)</f>
        <v/>
      </c>
      <c r="B294" s="10" t="str">
        <f aca="false">IF(C294="","",C294&amp;" - "&amp;D294&amp;IF(E294&lt;&gt;"",", span "&amp;E294&amp;" m","")&amp;IF(F294&lt;&gt;"",", H "&amp;F294&amp;" m","")&amp;IF(G294&lt;&gt;"",", W "&amp;G294&amp;" m",""))</f>
        <v/>
      </c>
      <c r="C294" s="9"/>
      <c r="D294" s="9"/>
      <c r="E294" s="38"/>
      <c r="F294" s="38"/>
      <c r="G294" s="38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37"/>
      <c r="U294" s="38"/>
      <c r="V294" s="39"/>
      <c r="W294" s="39"/>
      <c r="X294" s="9"/>
      <c r="Y294" s="9"/>
      <c r="Z294" s="9"/>
      <c r="AA294" s="9"/>
      <c r="AB294" s="9"/>
      <c r="AC294" s="40"/>
    </row>
    <row r="295" customFormat="false" ht="15" hidden="false" customHeight="false" outlineLevel="0" collapsed="false">
      <c r="A295" s="10" t="str">
        <f aca="false">IF(C295="","",IFERROR(VLOOKUP(C295,Lists!$Y$4:$Z$20,2,0),"??")&amp;"-"&amp;UPPER(SUBSTITUTE(D295," ",""))&amp;IF(E295&lt;&gt;"","-SP"&amp;TEXT(E295*1000,"0"),"")&amp;IF(F295&lt;&gt;"","-H"&amp;TEXT(F295*1000,"0"),"")&amp;"-"&amp;M295)</f>
        <v/>
      </c>
      <c r="B295" s="10" t="str">
        <f aca="false">IF(C295="","",C295&amp;" - "&amp;D295&amp;IF(E295&lt;&gt;"",", span "&amp;E295&amp;" m","")&amp;IF(F295&lt;&gt;"",", H "&amp;F295&amp;" m","")&amp;IF(G295&lt;&gt;"",", W "&amp;G295&amp;" m",""))</f>
        <v/>
      </c>
      <c r="C295" s="9"/>
      <c r="D295" s="9"/>
      <c r="E295" s="38"/>
      <c r="F295" s="38"/>
      <c r="G295" s="38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37"/>
      <c r="U295" s="38"/>
      <c r="V295" s="39"/>
      <c r="W295" s="39"/>
      <c r="X295" s="9"/>
      <c r="Y295" s="9"/>
      <c r="Z295" s="9"/>
      <c r="AA295" s="9"/>
      <c r="AB295" s="9"/>
      <c r="AC295" s="40"/>
    </row>
    <row r="296" customFormat="false" ht="15" hidden="false" customHeight="false" outlineLevel="0" collapsed="false">
      <c r="A296" s="10" t="str">
        <f aca="false">IF(C296="","",IFERROR(VLOOKUP(C296,Lists!$Y$4:$Z$20,2,0),"??")&amp;"-"&amp;UPPER(SUBSTITUTE(D296," ",""))&amp;IF(E296&lt;&gt;"","-SP"&amp;TEXT(E296*1000,"0"),"")&amp;IF(F296&lt;&gt;"","-H"&amp;TEXT(F296*1000,"0"),"")&amp;"-"&amp;M296)</f>
        <v/>
      </c>
      <c r="B296" s="10" t="str">
        <f aca="false">IF(C296="","",C296&amp;" - "&amp;D296&amp;IF(E296&lt;&gt;"",", span "&amp;E296&amp;" m","")&amp;IF(F296&lt;&gt;"",", H "&amp;F296&amp;" m","")&amp;IF(G296&lt;&gt;"",", W "&amp;G296&amp;" m",""))</f>
        <v/>
      </c>
      <c r="C296" s="9"/>
      <c r="D296" s="9"/>
      <c r="E296" s="38"/>
      <c r="F296" s="38"/>
      <c r="G296" s="38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37"/>
      <c r="U296" s="38"/>
      <c r="V296" s="39"/>
      <c r="W296" s="39"/>
      <c r="X296" s="9"/>
      <c r="Y296" s="9"/>
      <c r="Z296" s="9"/>
      <c r="AA296" s="9"/>
      <c r="AB296" s="9"/>
      <c r="AC296" s="40"/>
    </row>
    <row r="297" customFormat="false" ht="15" hidden="false" customHeight="false" outlineLevel="0" collapsed="false">
      <c r="A297" s="10" t="str">
        <f aca="false">IF(C297="","",IFERROR(VLOOKUP(C297,Lists!$Y$4:$Z$20,2,0),"??")&amp;"-"&amp;UPPER(SUBSTITUTE(D297," ",""))&amp;IF(E297&lt;&gt;"","-SP"&amp;TEXT(E297*1000,"0"),"")&amp;IF(F297&lt;&gt;"","-H"&amp;TEXT(F297*1000,"0"),"")&amp;"-"&amp;M297)</f>
        <v/>
      </c>
      <c r="B297" s="10" t="str">
        <f aca="false">IF(C297="","",C297&amp;" - "&amp;D297&amp;IF(E297&lt;&gt;"",", span "&amp;E297&amp;" m","")&amp;IF(F297&lt;&gt;"",", H "&amp;F297&amp;" m","")&amp;IF(G297&lt;&gt;"",", W "&amp;G297&amp;" m",""))</f>
        <v/>
      </c>
      <c r="C297" s="9"/>
      <c r="D297" s="9"/>
      <c r="E297" s="38"/>
      <c r="F297" s="38"/>
      <c r="G297" s="38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37"/>
      <c r="U297" s="38"/>
      <c r="V297" s="39"/>
      <c r="W297" s="39"/>
      <c r="X297" s="9"/>
      <c r="Y297" s="9"/>
      <c r="Z297" s="9"/>
      <c r="AA297" s="9"/>
      <c r="AB297" s="9"/>
      <c r="AC297" s="40"/>
    </row>
    <row r="298" customFormat="false" ht="15" hidden="false" customHeight="false" outlineLevel="0" collapsed="false">
      <c r="A298" s="10" t="str">
        <f aca="false">IF(C298="","",IFERROR(VLOOKUP(C298,Lists!$Y$4:$Z$20,2,0),"??")&amp;"-"&amp;UPPER(SUBSTITUTE(D298," ",""))&amp;IF(E298&lt;&gt;"","-SP"&amp;TEXT(E298*1000,"0"),"")&amp;IF(F298&lt;&gt;"","-H"&amp;TEXT(F298*1000,"0"),"")&amp;"-"&amp;M298)</f>
        <v/>
      </c>
      <c r="B298" s="10" t="str">
        <f aca="false">IF(C298="","",C298&amp;" - "&amp;D298&amp;IF(E298&lt;&gt;"",", span "&amp;E298&amp;" m","")&amp;IF(F298&lt;&gt;"",", H "&amp;F298&amp;" m","")&amp;IF(G298&lt;&gt;"",", W "&amp;G298&amp;" m",""))</f>
        <v/>
      </c>
      <c r="C298" s="9"/>
      <c r="D298" s="9"/>
      <c r="E298" s="38"/>
      <c r="F298" s="38"/>
      <c r="G298" s="38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37"/>
      <c r="U298" s="38"/>
      <c r="V298" s="39"/>
      <c r="W298" s="39"/>
      <c r="X298" s="9"/>
      <c r="Y298" s="9"/>
      <c r="Z298" s="9"/>
      <c r="AA298" s="9"/>
      <c r="AB298" s="9"/>
      <c r="AC298" s="40"/>
    </row>
    <row r="299" customFormat="false" ht="15" hidden="false" customHeight="false" outlineLevel="0" collapsed="false">
      <c r="A299" s="10" t="str">
        <f aca="false">IF(C299="","",IFERROR(VLOOKUP(C299,Lists!$Y$4:$Z$20,2,0),"??")&amp;"-"&amp;UPPER(SUBSTITUTE(D299," ",""))&amp;IF(E299&lt;&gt;"","-SP"&amp;TEXT(E299*1000,"0"),"")&amp;IF(F299&lt;&gt;"","-H"&amp;TEXT(F299*1000,"0"),"")&amp;"-"&amp;M299)</f>
        <v/>
      </c>
      <c r="B299" s="10" t="str">
        <f aca="false">IF(C299="","",C299&amp;" - "&amp;D299&amp;IF(E299&lt;&gt;"",", span "&amp;E299&amp;" m","")&amp;IF(F299&lt;&gt;"",", H "&amp;F299&amp;" m","")&amp;IF(G299&lt;&gt;"",", W "&amp;G299&amp;" m",""))</f>
        <v/>
      </c>
      <c r="C299" s="9"/>
      <c r="D299" s="9"/>
      <c r="E299" s="38"/>
      <c r="F299" s="38"/>
      <c r="G299" s="38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37"/>
      <c r="U299" s="38"/>
      <c r="V299" s="39"/>
      <c r="W299" s="39"/>
      <c r="X299" s="9"/>
      <c r="Y299" s="9"/>
      <c r="Z299" s="9"/>
      <c r="AA299" s="9"/>
      <c r="AB299" s="9"/>
      <c r="AC299" s="40"/>
    </row>
    <row r="300" customFormat="false" ht="15" hidden="false" customHeight="false" outlineLevel="0" collapsed="false">
      <c r="A300" s="10" t="str">
        <f aca="false">IF(C300="","",IFERROR(VLOOKUP(C300,Lists!$Y$4:$Z$20,2,0),"??")&amp;"-"&amp;UPPER(SUBSTITUTE(D300," ",""))&amp;IF(E300&lt;&gt;"","-SP"&amp;TEXT(E300*1000,"0"),"")&amp;IF(F300&lt;&gt;"","-H"&amp;TEXT(F300*1000,"0"),"")&amp;"-"&amp;M300)</f>
        <v/>
      </c>
      <c r="B300" s="10" t="str">
        <f aca="false">IF(C300="","",C300&amp;" - "&amp;D300&amp;IF(E300&lt;&gt;"",", span "&amp;E300&amp;" m","")&amp;IF(F300&lt;&gt;"",", H "&amp;F300&amp;" m","")&amp;IF(G300&lt;&gt;"",", W "&amp;G300&amp;" m",""))</f>
        <v/>
      </c>
      <c r="C300" s="9"/>
      <c r="D300" s="9"/>
      <c r="E300" s="38"/>
      <c r="F300" s="38"/>
      <c r="G300" s="38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37"/>
      <c r="U300" s="38"/>
      <c r="V300" s="39"/>
      <c r="W300" s="39"/>
      <c r="X300" s="9"/>
      <c r="Y300" s="9"/>
      <c r="Z300" s="9"/>
      <c r="AA300" s="9"/>
      <c r="AB300" s="9"/>
      <c r="AC300" s="40"/>
    </row>
    <row r="301" customFormat="false" ht="15" hidden="false" customHeight="false" outlineLevel="0" collapsed="false">
      <c r="A301" s="10" t="str">
        <f aca="false">IF(C301="","",IFERROR(VLOOKUP(C301,Lists!$Y$4:$Z$20,2,0),"??")&amp;"-"&amp;UPPER(SUBSTITUTE(D301," ",""))&amp;IF(E301&lt;&gt;"","-SP"&amp;TEXT(E301*1000,"0"),"")&amp;IF(F301&lt;&gt;"","-H"&amp;TEXT(F301*1000,"0"),"")&amp;"-"&amp;M301)</f>
        <v/>
      </c>
      <c r="B301" s="10" t="str">
        <f aca="false">IF(C301="","",C301&amp;" - "&amp;D301&amp;IF(E301&lt;&gt;"",", span "&amp;E301&amp;" m","")&amp;IF(F301&lt;&gt;"",", H "&amp;F301&amp;" m","")&amp;IF(G301&lt;&gt;"",", W "&amp;G301&amp;" m",""))</f>
        <v/>
      </c>
      <c r="C301" s="9"/>
      <c r="D301" s="9"/>
      <c r="E301" s="38"/>
      <c r="F301" s="38"/>
      <c r="G301" s="38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37"/>
      <c r="U301" s="38"/>
      <c r="V301" s="39"/>
      <c r="W301" s="39"/>
      <c r="X301" s="9"/>
      <c r="Y301" s="9"/>
      <c r="Z301" s="9"/>
      <c r="AA301" s="9"/>
      <c r="AB301" s="9"/>
      <c r="AC301" s="40"/>
    </row>
    <row r="302" customFormat="false" ht="15" hidden="false" customHeight="false" outlineLevel="0" collapsed="false">
      <c r="A302" s="10" t="str">
        <f aca="false">IF(C302="","",IFERROR(VLOOKUP(C302,Lists!$Y$4:$Z$20,2,0),"??")&amp;"-"&amp;UPPER(SUBSTITUTE(D302," ",""))&amp;IF(E302&lt;&gt;"","-SP"&amp;TEXT(E302*1000,"0"),"")&amp;IF(F302&lt;&gt;"","-H"&amp;TEXT(F302*1000,"0"),"")&amp;"-"&amp;M302)</f>
        <v/>
      </c>
      <c r="B302" s="10" t="str">
        <f aca="false">IF(C302="","",C302&amp;" - "&amp;D302&amp;IF(E302&lt;&gt;"",", span "&amp;E302&amp;" m","")&amp;IF(F302&lt;&gt;"",", H "&amp;F302&amp;" m","")&amp;IF(G302&lt;&gt;"",", W "&amp;G302&amp;" m",""))</f>
        <v/>
      </c>
      <c r="C302" s="9"/>
      <c r="D302" s="9"/>
      <c r="E302" s="38"/>
      <c r="F302" s="38"/>
      <c r="G302" s="38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37"/>
      <c r="U302" s="38"/>
      <c r="V302" s="39"/>
      <c r="W302" s="39"/>
      <c r="X302" s="9"/>
      <c r="Y302" s="9"/>
      <c r="Z302" s="9"/>
      <c r="AA302" s="9"/>
      <c r="AB302" s="9"/>
      <c r="AC302" s="40"/>
    </row>
    <row r="303" customFormat="false" ht="15" hidden="false" customHeight="false" outlineLevel="0" collapsed="false">
      <c r="A303" s="10" t="str">
        <f aca="false">IF(C303="","",IFERROR(VLOOKUP(C303,Lists!$Y$4:$Z$20,2,0),"??")&amp;"-"&amp;UPPER(SUBSTITUTE(D303," ",""))&amp;IF(E303&lt;&gt;"","-SP"&amp;TEXT(E303*1000,"0"),"")&amp;IF(F303&lt;&gt;"","-H"&amp;TEXT(F303*1000,"0"),"")&amp;"-"&amp;M303)</f>
        <v/>
      </c>
      <c r="B303" s="10" t="str">
        <f aca="false">IF(C303="","",C303&amp;" - "&amp;D303&amp;IF(E303&lt;&gt;"",", span "&amp;E303&amp;" m","")&amp;IF(F303&lt;&gt;"",", H "&amp;F303&amp;" m","")&amp;IF(G303&lt;&gt;"",", W "&amp;G303&amp;" m",""))</f>
        <v/>
      </c>
      <c r="C303" s="9"/>
      <c r="D303" s="9"/>
      <c r="E303" s="38"/>
      <c r="F303" s="38"/>
      <c r="G303" s="38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37"/>
      <c r="U303" s="38"/>
      <c r="V303" s="39"/>
      <c r="W303" s="39"/>
      <c r="X303" s="9"/>
      <c r="Y303" s="9"/>
      <c r="Z303" s="9"/>
      <c r="AA303" s="9"/>
      <c r="AB303" s="9"/>
      <c r="AC303" s="40"/>
    </row>
    <row r="304" customFormat="false" ht="15" hidden="false" customHeight="false" outlineLevel="0" collapsed="false">
      <c r="A304" s="10" t="str">
        <f aca="false">IF(C304="","",IFERROR(VLOOKUP(C304,Lists!$Y$4:$Z$20,2,0),"??")&amp;"-"&amp;UPPER(SUBSTITUTE(D304," ",""))&amp;IF(E304&lt;&gt;"","-SP"&amp;TEXT(E304*1000,"0"),"")&amp;IF(F304&lt;&gt;"","-H"&amp;TEXT(F304*1000,"0"),"")&amp;"-"&amp;M304)</f>
        <v/>
      </c>
      <c r="B304" s="10" t="str">
        <f aca="false">IF(C304="","",C304&amp;" - "&amp;D304&amp;IF(E304&lt;&gt;"",", span "&amp;E304&amp;" m","")&amp;IF(F304&lt;&gt;"",", H "&amp;F304&amp;" m","")&amp;IF(G304&lt;&gt;"",", W "&amp;G304&amp;" m",""))</f>
        <v/>
      </c>
      <c r="C304" s="9"/>
      <c r="D304" s="9"/>
      <c r="E304" s="38"/>
      <c r="F304" s="38"/>
      <c r="G304" s="38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37"/>
      <c r="U304" s="38"/>
      <c r="V304" s="39"/>
      <c r="W304" s="39"/>
      <c r="X304" s="9"/>
      <c r="Y304" s="9"/>
      <c r="Z304" s="9"/>
      <c r="AA304" s="9"/>
      <c r="AB304" s="9"/>
      <c r="AC304" s="40"/>
    </row>
  </sheetData>
  <dataValidations count="3">
    <dataValidation allowBlank="true" error="Pick a value from the list (add new values on the Lists sheet)." errorStyle="stop" errorTitle="Not in list" operator="between" showDropDown="false" showErrorMessage="false" showInputMessage="false" sqref="C5:C304" type="list">
      <formula1>Lists!$Y$4:$Y$20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N5:N304" type="list">
      <formula1>Lists!$P$4:$P$18</formula1>
      <formula2>0</formula2>
    </dataValidation>
    <dataValidation allowBlank="true" error="Pick a value from the list (add new values on the Lists sheet)." errorStyle="stop" errorTitle="Not in list" operator="between" showDropDown="false" showErrorMessage="false" showInputMessage="false" sqref="S5:S304" type="list">
      <formula1>Lists!$AB$4:$AB$18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2026-10-14T16:24:13Z</dcterms:created>
  <dc:creator>openpyxl</dc:creator>
  <dc:description/>
  <dc:language>en-US</dc:language>
  <cp:lastModifiedBy/>
  <dcterms:modified xsi:type="dcterms:W3CDTF">2026-10-14T16:24:14Z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